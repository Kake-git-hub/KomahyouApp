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機能一覧" sheetId="1" state="visible" r:id="rId3"/>
    <sheet name="集計" sheetId="2" state="visible" r:id="rId4"/>
  </sheets>
  <definedNames>
    <definedName function="false" hidden="true" localSheetId="0" name="_xlnm._FilterDatabase" vbProcedure="false">機能一覧!$A$5:$I$50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<sst xmlns="http://schemas.openxmlformats.org/spreadsheetml/2006/main" count="413" uniqueCount="188">
  <si>
    <r>
      <rPr>
        <b val="true"/>
        <sz val="13"/>
        <rFont val="WenQuanYi Zen Hei"/>
        <family val="2"/>
      </rPr>
      <t xml:space="preserve">コマ表アプリ 機能の教室別 </t>
    </r>
    <r>
      <rPr>
        <b val="true"/>
        <sz val="13"/>
        <rFont val="Arial"/>
        <family val="0"/>
        <charset val="1"/>
      </rPr>
      <t xml:space="preserve">ON/OFF </t>
    </r>
    <r>
      <rPr>
        <b val="true"/>
        <sz val="13"/>
        <rFont val="WenQuanYi Zen Hei"/>
        <family val="2"/>
      </rPr>
      <t xml:space="preserve">候補一覧</t>
    </r>
    <r>
      <rPr>
        <b val="true"/>
        <sz val="13"/>
        <rFont val="Arial"/>
        <family val="0"/>
        <charset val="1"/>
      </rPr>
      <t xml:space="preserve">(2026-10-13</t>
    </r>
    <r>
      <rPr>
        <b val="true"/>
        <sz val="13"/>
        <rFont val="WenQuanYi Zen Hei"/>
        <family val="2"/>
      </rPr>
      <t xml:space="preserve">・</t>
    </r>
    <r>
      <rPr>
        <b val="true"/>
        <sz val="13"/>
        <rFont val="Arial"/>
        <family val="0"/>
        <charset val="1"/>
      </rPr>
      <t xml:space="preserve">v1.5.589 </t>
    </r>
    <r>
      <rPr>
        <b val="true"/>
        <sz val="13"/>
        <rFont val="WenQuanYi Zen Hei"/>
        <family val="2"/>
      </rPr>
      <t xml:space="preserve">時点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</si>
  <si>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10"/>
        <rFont val="WenQuanYi Zen Hei"/>
        <family val="2"/>
      </rPr>
      <t xml:space="preserve">判定</t>
    </r>
    <r>
      <rPr>
        <i val="true"/>
        <sz val="10"/>
        <rFont val="Arial"/>
        <family val="0"/>
        <charset val="1"/>
      </rPr>
      <t xml:space="preserve">: ◎=</t>
    </r>
    <r>
      <rPr>
        <i val="true"/>
        <sz val="10"/>
        <rFont val="WenQuanYi Zen Hei"/>
        <family val="2"/>
      </rPr>
      <t xml:space="preserve">フラグ済み</t>
    </r>
    <r>
      <rPr>
        <i val="true"/>
        <sz val="10"/>
        <rFont val="Arial"/>
        <family val="0"/>
        <charset val="1"/>
      </rPr>
      <t xml:space="preserve">(featureRollout.ts </t>
    </r>
    <r>
      <rPr>
        <i val="true"/>
        <sz val="10"/>
        <rFont val="WenQuanYi Zen Hei"/>
        <family val="2"/>
      </rPr>
      <t xml:space="preserve">の </t>
    </r>
    <r>
      <rPr>
        <i val="true"/>
        <sz val="10"/>
        <rFont val="Arial"/>
        <family val="0"/>
        <charset val="1"/>
      </rPr>
      <t xml:space="preserve">scope 1 </t>
    </r>
    <r>
      <rPr>
        <i val="true"/>
        <sz val="10"/>
        <rFont val="WenQuanYi Zen Hei"/>
        <family val="2"/>
      </rPr>
      <t xml:space="preserve">行で切れる</t>
    </r>
    <r>
      <rPr>
        <i val="true"/>
        <sz val="10"/>
        <rFont val="Arial"/>
        <family val="0"/>
        <charset val="1"/>
      </rPr>
      <t xml:space="preserve">) / ○=</t>
    </r>
    <r>
      <rPr>
        <i val="true"/>
        <sz val="10"/>
        <rFont val="WenQuanYi Zen Hei"/>
        <family val="2"/>
      </rPr>
      <t xml:space="preserve">入口 </t>
    </r>
    <r>
      <rPr>
        <i val="true"/>
        <sz val="10"/>
        <rFont val="Arial"/>
        <family val="0"/>
        <charset val="1"/>
      </rPr>
      <t xml:space="preserve">1 </t>
    </r>
    <r>
      <rPr>
        <i val="true"/>
        <sz val="10"/>
        <rFont val="WenQuanYi Zen Hei"/>
        <family val="2"/>
      </rPr>
      <t xml:space="preserve">箇所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フラグ登録＋ゲート＋テスト </t>
    </r>
    <r>
      <rPr>
        <i val="true"/>
        <sz val="10"/>
        <rFont val="Arial"/>
        <family val="0"/>
        <charset val="1"/>
      </rPr>
      <t xml:space="preserve">1 </t>
    </r>
    <r>
      <rPr>
        <i val="true"/>
        <sz val="10"/>
        <rFont val="WenQuanYi Zen Hei"/>
        <family val="2"/>
      </rPr>
      <t xml:space="preserve">件で切れる</t>
    </r>
    <r>
      <rPr>
        <i val="true"/>
        <sz val="10"/>
        <rFont val="Arial"/>
        <family val="0"/>
        <charset val="1"/>
      </rPr>
      <t xml:space="preserve">) / △=</t>
    </r>
    <r>
      <rPr>
        <i val="true"/>
        <sz val="10"/>
        <rFont val="WenQuanYi Zen Hei"/>
        <family val="2"/>
      </rPr>
      <t xml:space="preserve">入口に加えて裏の処理の停止が要る </t>
    </r>
    <r>
      <rPr>
        <i val="true"/>
        <sz val="10"/>
        <rFont val="Arial"/>
        <family val="0"/>
        <charset val="1"/>
      </rPr>
      <t xml:space="preserve">/ ×=</t>
    </r>
    <r>
      <rPr>
        <i val="true"/>
        <sz val="10"/>
        <rFont val="WenQuanYi Zen Hei"/>
        <family val="2"/>
      </rPr>
      <t xml:space="preserve">切らない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基幹・保証に関わる</t>
    </r>
    <r>
      <rPr>
        <i val="true"/>
        <sz val="10"/>
        <rFont val="Arial"/>
        <family val="0"/>
        <charset val="1"/>
      </rPr>
      <t xml:space="preserve">)</t>
    </r>
  </si>
  <si>
    <r>
      <rPr>
        <i val="true"/>
        <sz val="10"/>
        <rFont val="WenQuanYi Zen Hei"/>
        <family val="2"/>
      </rPr>
      <t xml:space="preserve">注意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WenQuanYi Zen Hei"/>
        <family val="2"/>
      </rPr>
      <t xml:space="preserve">現在の切り替えは </t>
    </r>
    <r>
      <rPr>
        <i val="true"/>
        <sz val="10"/>
        <rFont val="Arial"/>
        <family val="0"/>
        <charset val="1"/>
      </rPr>
      <t xml:space="preserve">2 </t>
    </r>
    <r>
      <rPr>
        <i val="true"/>
        <sz val="10"/>
        <rFont val="WenQuanYi Zen Hei"/>
        <family val="2"/>
      </rPr>
      <t xml:space="preserve">段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基本スコープ → 会社既定 </t>
    </r>
    <r>
      <rPr>
        <i val="true"/>
        <sz val="10"/>
        <rFont val="Arial"/>
        <family val="0"/>
        <charset val="1"/>
      </rPr>
      <t xml:space="preserve">companyFeatureDefaults.ts)</t>
    </r>
    <r>
      <rPr>
        <i val="true"/>
        <sz val="10"/>
        <rFont val="WenQuanYi Zen Hei"/>
        <family val="2"/>
      </rPr>
      <t xml:space="preserve">。教室単位の上書き</t>
    </r>
    <r>
      <rPr>
        <i val="true"/>
        <sz val="10"/>
        <rFont val="Arial"/>
        <family val="0"/>
        <charset val="1"/>
      </rPr>
      <t xml:space="preserve">(O-1)</t>
    </r>
    <r>
      <rPr>
        <i val="true"/>
        <sz val="10"/>
        <rFont val="WenQuanYi Zen Hei"/>
        <family val="2"/>
      </rPr>
      <t xml:space="preserve">は保留中で、◎は「全教室か開発用だけか」の切り替え。教室ごとに切るには </t>
    </r>
    <r>
      <rPr>
        <i val="true"/>
        <sz val="10"/>
        <rFont val="Arial"/>
        <family val="0"/>
        <charset val="1"/>
      </rPr>
      <t xml:space="preserve">O-1 </t>
    </r>
    <r>
      <rPr>
        <i val="true"/>
        <sz val="10"/>
        <rFont val="WenQuanYi Zen Hei"/>
        <family val="2"/>
      </rPr>
      <t xml:space="preserve">の再開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配線 </t>
    </r>
    <r>
      <rPr>
        <i val="true"/>
        <sz val="10"/>
        <rFont val="Arial"/>
        <family val="0"/>
        <charset val="1"/>
      </rPr>
      <t xml:space="preserve">7 </t>
    </r>
    <r>
      <rPr>
        <i val="true"/>
        <sz val="10"/>
        <rFont val="WenQuanYi Zen Hei"/>
        <family val="2"/>
      </rPr>
      <t xml:space="preserve">箇所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WenQuanYi Zen Hei"/>
        <family val="2"/>
      </rPr>
      <t xml:space="preserve">か登録表への教室 </t>
    </r>
    <r>
      <rPr>
        <i val="true"/>
        <sz val="10"/>
        <rFont val="Arial"/>
        <family val="0"/>
        <charset val="1"/>
      </rPr>
      <t xml:space="preserve">ID </t>
    </r>
    <r>
      <rPr>
        <i val="true"/>
        <sz val="10"/>
        <rFont val="WenQuanYi Zen Hei"/>
        <family val="2"/>
      </rPr>
      <t xml:space="preserve">直書き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暫定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WenQuanYi Zen Hei"/>
        <family val="2"/>
      </rPr>
      <t xml:space="preserve">が要る。</t>
    </r>
  </si>
  <si>
    <t xml:space="preserve">区分</t>
  </si>
  <si>
    <t xml:space="preserve">機能</t>
  </si>
  <si>
    <t xml:space="preserve">フラグキー</t>
  </si>
  <si>
    <t xml:space="preserve">開発用教室</t>
  </si>
  <si>
    <r>
      <rPr>
        <b val="true"/>
        <sz val="11"/>
        <color rgb="FFFFFFFF"/>
        <rFont val="WenQuanYi Zen Hei"/>
        <family val="2"/>
      </rPr>
      <t xml:space="preserve">本番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教室</t>
    </r>
  </si>
  <si>
    <r>
      <rPr>
        <b val="true"/>
        <sz val="11"/>
        <color rgb="FFFFFFFF"/>
        <rFont val="WenQuanYi Zen Hei"/>
        <family val="2"/>
      </rPr>
      <t xml:space="preserve">判定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切り替えやすさ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</si>
  <si>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切り替え方法</t>
  </si>
  <si>
    <r>
      <rPr>
        <b val="true"/>
        <sz val="11"/>
        <color rgb="FFFFFFFF"/>
        <rFont val="WenQuanYi Zen Hei"/>
        <family val="2"/>
      </rPr>
      <t xml:space="preserve">入口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所在</t>
    </r>
  </si>
  <si>
    <t xml:space="preserve">備考</t>
  </si>
  <si>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開発用教室だけで先行</t>
    </r>
  </si>
  <si>
    <r>
      <rPr>
        <sz val="10"/>
        <rFont val="WenQuanYi Zen Hei"/>
        <family val="2"/>
      </rPr>
      <t xml:space="preserve">通常授業履歴ボタン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生徒日程表タブ・旧「講習履歴」</t>
    </r>
    <r>
      <rPr>
        <sz val="10"/>
        <rFont val="Arial"/>
        <family val="0"/>
        <charset val="1"/>
      </rPr>
      <t xml:space="preserve">)</t>
    </r>
  </si>
  <si>
    <t xml:space="preserve">lessonHistory</t>
  </si>
  <si>
    <t xml:space="preserve">ON</t>
  </si>
  <si>
    <t xml:space="preserve">OFF</t>
  </si>
  <si>
    <t xml:space="preserve">◎ フラグ済み</t>
  </si>
  <si>
    <r>
      <rPr>
        <sz val="10"/>
        <rFont val="Arial"/>
        <family val="0"/>
        <charset val="1"/>
      </rPr>
      <t xml:space="preserve">featureRollout.ts </t>
    </r>
    <r>
      <rPr>
        <sz val="10"/>
        <rFont val="WenQuanYi Zen Hei"/>
        <family val="2"/>
      </rPr>
      <t xml:space="preserve">の </t>
    </r>
    <r>
      <rPr>
        <sz val="10"/>
        <rFont val="Arial"/>
        <family val="0"/>
        <charset val="1"/>
      </rPr>
      <t xml:space="preserve">scope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行変更</t>
    </r>
  </si>
  <si>
    <r>
      <rPr>
        <sz val="10"/>
        <rFont val="Arial"/>
        <family val="0"/>
        <charset val="1"/>
      </rPr>
      <t xml:space="preserve">scheduleHtml.ts </t>
    </r>
    <r>
      <rPr>
        <sz val="10"/>
        <rFont val="WenQuanYi Zen Hei"/>
        <family val="2"/>
      </rPr>
      <t xml:space="preserve">日程表タブのボタン</t>
    </r>
  </si>
  <si>
    <t xml:space="preserve">読み取りのみ。片側昇格の非対称なし</t>
  </si>
  <si>
    <r>
      <rPr>
        <sz val="10"/>
        <rFont val="WenQuanYi Zen Hei"/>
        <family val="2"/>
      </rPr>
      <t xml:space="preserve">保護者向け固定</t>
    </r>
    <r>
      <rPr>
        <sz val="10"/>
        <rFont val="Arial"/>
        <family val="0"/>
        <charset val="1"/>
      </rPr>
      <t xml:space="preserve">QR</t>
    </r>
    <r>
      <rPr>
        <sz val="10"/>
        <rFont val="WenQuanYi Zen Hei"/>
        <family val="2"/>
      </rPr>
      <t xml:space="preserve">・休み連絡・連絡履歴ボタン</t>
    </r>
  </si>
  <si>
    <t xml:space="preserve">parentPortalQr</t>
  </si>
  <si>
    <r>
      <rPr>
        <sz val="10"/>
        <rFont val="Arial"/>
        <family val="0"/>
        <charset val="1"/>
      </rPr>
      <t xml:space="preserve">scope 1 </t>
    </r>
    <r>
      <rPr>
        <sz val="10"/>
        <rFont val="WenQuanYi Zen Hei"/>
        <family val="2"/>
      </rPr>
      <t xml:space="preserve">行 ＋ サーバー側を同時に変更</t>
    </r>
  </si>
  <si>
    <r>
      <rPr>
        <sz val="10"/>
        <rFont val="WenQuanYi Zen Hei"/>
        <family val="2"/>
      </rPr>
      <t xml:space="preserve">基本データ画面の </t>
    </r>
    <r>
      <rPr>
        <sz val="10"/>
        <rFont val="Arial"/>
        <family val="0"/>
        <charset val="1"/>
      </rPr>
      <t xml:space="preserve">QR </t>
    </r>
    <r>
      <rPr>
        <sz val="10"/>
        <rFont val="WenQuanYi Zen Hei"/>
        <family val="2"/>
      </rPr>
      <t xml:space="preserve">ボタン・</t>
    </r>
    <r>
      <rPr>
        <sz val="10"/>
        <rFont val="Arial"/>
        <family val="0"/>
        <charset val="1"/>
      </rPr>
      <t xml:space="preserve">BoardToolbar </t>
    </r>
    <r>
      <rPr>
        <sz val="10"/>
        <rFont val="WenQuanYi Zen Hei"/>
        <family val="2"/>
      </rPr>
      <t xml:space="preserve">の連絡履歴</t>
    </r>
  </si>
  <si>
    <r>
      <rPr>
        <sz val="10"/>
        <rFont val="Arial"/>
        <family val="0"/>
        <charset val="1"/>
      </rPr>
      <t xml:space="preserve">functions/src/parentPortal.ts </t>
    </r>
    <r>
      <rPr>
        <sz val="10"/>
        <rFont val="WenQuanYi Zen Hei"/>
        <family val="2"/>
      </rPr>
      <t xml:space="preserve">に同じ判定あり。片側だけ広げると </t>
    </r>
    <r>
      <rPr>
        <sz val="10"/>
        <rFont val="Arial"/>
        <family val="0"/>
        <charset val="1"/>
      </rPr>
      <t xml:space="preserve">QR </t>
    </r>
    <r>
      <rPr>
        <sz val="10"/>
        <rFont val="WenQuanYi Zen Hei"/>
        <family val="2"/>
      </rPr>
      <t xml:space="preserve">は出るのにページが </t>
    </r>
    <r>
      <rPr>
        <sz val="10"/>
        <rFont val="Arial"/>
        <family val="0"/>
        <charset val="1"/>
      </rPr>
      <t xml:space="preserve">403 </t>
    </r>
    <r>
      <rPr>
        <sz val="10"/>
        <rFont val="WenQuanYi Zen Hei"/>
        <family val="2"/>
      </rPr>
      <t xml:space="preserve">になる</t>
    </r>
  </si>
  <si>
    <r>
      <rPr>
        <sz val="10"/>
        <rFont val="WenQuanYi Zen Hei"/>
        <family val="2"/>
      </rPr>
      <t xml:space="preserve">質問への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即時回答</t>
    </r>
  </si>
  <si>
    <t xml:space="preserve">questionAiAnswer</t>
  </si>
  <si>
    <t xml:space="preserve">「質問・要望」モーダル</t>
  </si>
  <si>
    <r>
      <rPr>
        <sz val="10"/>
        <rFont val="Arial"/>
        <family val="0"/>
        <charset val="1"/>
      </rPr>
      <t xml:space="preserve">functions/src/questionAiAnswer.ts </t>
    </r>
    <r>
      <rPr>
        <sz val="10"/>
        <rFont val="WenQuanYi Zen Hei"/>
        <family val="2"/>
      </rPr>
      <t xml:space="preserve">に同じ判定あり。同時に変える</t>
    </r>
  </si>
  <si>
    <r>
      <rPr>
        <sz val="10"/>
        <rFont val="WenQuanYi Zen Hei"/>
        <family val="2"/>
      </rPr>
      <t xml:space="preserve">振替元「休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」表示・丸ごと振替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休日設定の記録保持</t>
    </r>
  </si>
  <si>
    <t xml:space="preserve">transferSourceRestDisplay</t>
  </si>
  <si>
    <r>
      <rPr>
        <sz val="10"/>
        <rFont val="Arial"/>
        <family val="0"/>
        <charset val="1"/>
      </rPr>
      <t xml:space="preserve">scope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行変更</t>
    </r>
  </si>
  <si>
    <t xml:space="preserve">盤面・配布用盤面・生徒日程表</t>
  </si>
  <si>
    <r>
      <rPr>
        <sz val="10"/>
        <rFont val="WenQuanYi Zen Hei"/>
        <family val="2"/>
      </rPr>
      <t xml:space="preserve">一度作った </t>
    </r>
    <r>
      <rPr>
        <sz val="10"/>
        <rFont val="Arial"/>
        <family val="0"/>
        <charset val="1"/>
      </rPr>
      <t xml:space="preserve">holiday </t>
    </r>
    <r>
      <rPr>
        <sz val="10"/>
        <rFont val="WenQuanYi Zen Hei"/>
        <family val="2"/>
      </rPr>
      <t xml:space="preserve">記録の表示と会計ガードは </t>
    </r>
    <r>
      <rPr>
        <sz val="10"/>
        <rFont val="Arial"/>
        <family val="0"/>
        <charset val="1"/>
      </rPr>
      <t xml:space="preserve">OFF </t>
    </r>
    <r>
      <rPr>
        <sz val="10"/>
        <rFont val="WenQuanYi Zen Hei"/>
        <family val="2"/>
      </rPr>
      <t xml:space="preserve">でも残る設計</t>
    </r>
    <r>
      <rPr>
        <sz val="10"/>
        <rFont val="Arial"/>
        <family val="0"/>
        <charset val="1"/>
      </rPr>
      <t xml:space="preserve">(INV-06)</t>
    </r>
  </si>
  <si>
    <r>
      <rPr>
        <sz val="10"/>
        <rFont val="WenQuanYi Zen Hei"/>
        <family val="2"/>
      </rPr>
      <t xml:space="preserve">退塾の自動掃除・高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卒業の退塾日自動入力</t>
    </r>
  </si>
  <si>
    <t xml:space="preserve">studentWithdrawAutoSweep</t>
  </si>
  <si>
    <t xml:space="preserve">盤面の起動時処理・基本データ</t>
  </si>
  <si>
    <t xml:space="preserve">室長確認なしに実データを書く。昇格はオーナー判断</t>
  </si>
  <si>
    <r>
      <rPr>
        <sz val="10"/>
        <rFont val="WenQuanYi Zen Hei"/>
        <family val="2"/>
      </rPr>
      <t xml:space="preserve">テンプレ保存の差分反映＋保留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行表示</t>
    </r>
    <r>
      <rPr>
        <sz val="10"/>
        <rFont val="Arial"/>
        <family val="0"/>
        <charset val="1"/>
      </rPr>
      <t xml:space="preserve">(Issue #72)</t>
    </r>
  </si>
  <si>
    <t xml:space="preserve">templateDiffApply</t>
  </si>
  <si>
    <t xml:space="preserve">通常授業テンプレの保存</t>
  </si>
  <si>
    <r>
      <rPr>
        <sz val="10"/>
        <rFont val="WenQuanYi Zen Hei"/>
        <family val="2"/>
      </rPr>
      <t xml:space="preserve">既存の保留データの保存・表示は </t>
    </r>
    <r>
      <rPr>
        <sz val="10"/>
        <rFont val="Arial"/>
        <family val="0"/>
        <charset val="1"/>
      </rPr>
      <t xml:space="preserve">OFF </t>
    </r>
    <r>
      <rPr>
        <sz val="10"/>
        <rFont val="WenQuanYi Zen Hei"/>
        <family val="2"/>
      </rPr>
      <t xml:space="preserve">でも残る設計。昇格条件は </t>
    </r>
    <r>
      <rPr>
        <sz val="10"/>
        <rFont val="Arial"/>
        <family val="0"/>
        <charset val="1"/>
      </rPr>
      <t xml:space="preserve">spec-template-behavior §H Q33-2</t>
    </r>
  </si>
  <si>
    <r>
      <rPr>
        <sz val="10"/>
        <rFont val="WenQuanYi Zen Hei"/>
        <family val="2"/>
      </rPr>
      <t xml:space="preserve">生徒日程表の予定数を盤面ベースで数える</t>
    </r>
    <r>
      <rPr>
        <sz val="10"/>
        <rFont val="Arial"/>
        <family val="0"/>
        <charset val="1"/>
      </rPr>
      <t xml:space="preserve">(INV-05)</t>
    </r>
  </si>
  <si>
    <t xml:space="preserve">boardBasedPlannedCount</t>
  </si>
  <si>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切らない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フラグはある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</si>
  <si>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一方向の段階導入のみ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開発用→</t>
    </r>
    <r>
      <rPr>
        <sz val="10"/>
        <rFont val="Arial"/>
        <family val="0"/>
        <charset val="1"/>
      </rPr>
      <t xml:space="preserve">staging→</t>
    </r>
    <r>
      <rPr>
        <sz val="10"/>
        <rFont val="WenQuanYi Zen Hei"/>
        <family val="2"/>
      </rPr>
      <t xml:space="preserve">全教室</t>
    </r>
    <r>
      <rPr>
        <sz val="10"/>
        <rFont val="Arial"/>
        <family val="0"/>
        <charset val="1"/>
      </rPr>
      <t xml:space="preserve">)</t>
    </r>
  </si>
  <si>
    <t xml:space="preserve">生徒日程表の通常回数の括弧内</t>
  </si>
  <si>
    <t xml:space="preserve">切り替えると過去月の数字が動く。教室別オプションにしない</t>
  </si>
  <si>
    <t xml:space="preserve">確認リストパネル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</si>
  <si>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フラグ無し・開発用教室の直判定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</si>
  <si>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切らない</t>
    </r>
  </si>
  <si>
    <t xml:space="preserve">対象外</t>
  </si>
  <si>
    <t xml:space="preserve">App.tsx isActingDevelopmentClassroom</t>
  </si>
  <si>
    <t xml:space="preserve">開発者用。他教室へ出す対象ではない</t>
  </si>
  <si>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フラグ済み・全教室 </t>
    </r>
    <r>
      <rPr>
        <sz val="10"/>
        <rFont val="Arial"/>
        <family val="0"/>
        <charset val="1"/>
      </rPr>
      <t xml:space="preserve">ON</t>
    </r>
  </si>
  <si>
    <r>
      <rPr>
        <sz val="10"/>
        <rFont val="WenQuanYi Zen Hei"/>
        <family val="2"/>
      </rPr>
      <t xml:space="preserve">生徒名の長押し </t>
    </r>
    <r>
      <rPr>
        <sz val="10"/>
        <rFont val="Arial"/>
        <family val="0"/>
        <charset val="1"/>
      </rPr>
      <t xml:space="preserve">D&amp;D </t>
    </r>
    <r>
      <rPr>
        <sz val="10"/>
        <rFont val="WenQuanYi Zen Hei"/>
        <family val="2"/>
      </rPr>
      <t xml:space="preserve">移動</t>
    </r>
  </si>
  <si>
    <t xml:space="preserve">studentDragAndDropMove</t>
  </si>
  <si>
    <t xml:space="preserve">ScheduleBoardScreen.tsx</t>
  </si>
  <si>
    <r>
      <rPr>
        <sz val="10"/>
        <rFont val="WenQuanYi Zen Hei"/>
        <family val="2"/>
      </rPr>
      <t xml:space="preserve">講師の長押し </t>
    </r>
    <r>
      <rPr>
        <sz val="10"/>
        <rFont val="Arial"/>
        <family val="0"/>
        <charset val="1"/>
      </rPr>
      <t xml:space="preserve">D&amp;D </t>
    </r>
    <r>
      <rPr>
        <sz val="10"/>
        <rFont val="WenQuanYi Zen Hei"/>
        <family val="2"/>
      </rPr>
      <t xml:space="preserve">移動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入替</t>
    </r>
  </si>
  <si>
    <t xml:space="preserve">teacherDragAndDropMove</t>
  </si>
  <si>
    <r>
      <rPr>
        <sz val="10"/>
        <rFont val="WenQuanYi Zen Hei"/>
        <family val="2"/>
      </rPr>
      <t xml:space="preserve">日程表コマ組み </t>
    </r>
    <r>
      <rPr>
        <sz val="10"/>
        <rFont val="Arial"/>
        <family val="0"/>
        <charset val="1"/>
      </rPr>
      <t xml:space="preserve">D&amp;D(</t>
    </r>
    <r>
      <rPr>
        <sz val="10"/>
        <rFont val="WenQuanYi Zen Hei"/>
        <family val="2"/>
      </rPr>
      <t xml:space="preserve">別タブ</t>
    </r>
    <r>
      <rPr>
        <sz val="10"/>
        <rFont val="Arial"/>
        <family val="0"/>
        <charset val="1"/>
      </rPr>
      <t xml:space="preserve">)</t>
    </r>
  </si>
  <si>
    <t xml:space="preserve">studentScheduleDndMove</t>
  </si>
  <si>
    <t xml:space="preserve">ScheduleBoardScreen.tsx → payload</t>
  </si>
  <si>
    <r>
      <rPr>
        <sz val="10"/>
        <rFont val="WenQuanYi Zen Hei"/>
        <family val="2"/>
      </rPr>
      <t xml:space="preserve">日程表の自動同期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デバウンス約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秒</t>
    </r>
    <r>
      <rPr>
        <sz val="10"/>
        <rFont val="Arial"/>
        <family val="0"/>
        <charset val="1"/>
      </rPr>
      <t xml:space="preserve">)</t>
    </r>
  </si>
  <si>
    <t xml:space="preserve">schedulePopupAutoSync</t>
  </si>
  <si>
    <r>
      <rPr>
        <sz val="10"/>
        <rFont val="Arial"/>
        <family val="0"/>
        <charset val="1"/>
      </rPr>
      <t xml:space="preserve">OFF = </t>
    </r>
    <r>
      <rPr>
        <sz val="10"/>
        <rFont val="WenQuanYi Zen Hei"/>
        <family val="2"/>
      </rPr>
      <t xml:space="preserve">「最新表示」ボタン運用</t>
    </r>
  </si>
  <si>
    <r>
      <rPr>
        <sz val="10"/>
        <rFont val="WenQuanYi Zen Hei"/>
        <family val="2"/>
      </rPr>
      <t xml:space="preserve">生徒日程表のオプション欄</t>
    </r>
    <r>
      <rPr>
        <sz val="10"/>
        <rFont val="Arial"/>
        <family val="0"/>
        <charset val="1"/>
      </rPr>
      <t xml:space="preserve">(2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行</t>
    </r>
    <r>
      <rPr>
        <sz val="10"/>
        <rFont val="Arial"/>
        <family val="0"/>
        <charset val="1"/>
      </rPr>
      <t xml:space="preserve">)</t>
    </r>
  </si>
  <si>
    <t xml:space="preserve">studentScheduleOptionField</t>
  </si>
  <si>
    <r>
      <rPr>
        <sz val="10"/>
        <rFont val="Arial"/>
        <family val="0"/>
        <charset val="1"/>
      </rPr>
      <t xml:space="preserve">ScheduleBoardScreen.tsx → payload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App.tsx(QR </t>
    </r>
    <r>
      <rPr>
        <sz val="10"/>
        <rFont val="WenQuanYi Zen Hei"/>
        <family val="2"/>
      </rPr>
      <t xml:space="preserve">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</si>
  <si>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QR </t>
    </r>
    <r>
      <rPr>
        <sz val="10"/>
        <rFont val="WenQuanYi Zen Hei"/>
        <family val="2"/>
      </rPr>
      <t xml:space="preserve">側まで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フラグで揃う理想形</t>
    </r>
  </si>
  <si>
    <r>
      <rPr>
        <sz val="10"/>
        <rFont val="WenQuanYi Zen Hei"/>
        <family val="2"/>
      </rPr>
      <t xml:space="preserve">盤面 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のコマ選択モーダル</t>
    </r>
  </si>
  <si>
    <t xml:space="preserve">boardPrintSelection</t>
  </si>
  <si>
    <r>
      <rPr>
        <sz val="10"/>
        <rFont val="Arial"/>
        <family val="0"/>
        <charset val="1"/>
      </rPr>
      <t xml:space="preserve">ScheduleBoardScreen.tsx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BoardPrintSelectionModal.tsx</t>
    </r>
  </si>
  <si>
    <r>
      <rPr>
        <sz val="10"/>
        <rFont val="Arial"/>
        <family val="0"/>
        <charset val="1"/>
      </rPr>
      <t xml:space="preserve">OFF = </t>
    </r>
    <r>
      <rPr>
        <sz val="10"/>
        <rFont val="WenQuanYi Zen Hei"/>
        <family val="2"/>
      </rPr>
      <t xml:space="preserve">表示週まるごと即出力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従来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</si>
  <si>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室長の自教室サーバーバックアップ復元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直近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)</t>
    </r>
  </si>
  <si>
    <t xml:space="preserve">managerSelfRestore</t>
  </si>
  <si>
    <r>
      <rPr>
        <sz val="10"/>
        <rFont val="WenQuanYi Zen Hei"/>
        <family val="2"/>
      </rPr>
      <t xml:space="preserve">バックアップ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復元画面のパネル</t>
    </r>
  </si>
  <si>
    <t xml:space="preserve">入口だけ。教室取り違えガードはサーバー側で不変</t>
  </si>
  <si>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フラグ済み・オプションにしない</t>
    </r>
  </si>
  <si>
    <r>
      <rPr>
        <sz val="10"/>
        <rFont val="WenQuanYi Zen Hei"/>
        <family val="2"/>
      </rPr>
      <t xml:space="preserve">盤面そのまま日程表</t>
    </r>
    <r>
      <rPr>
        <sz val="10"/>
        <rFont val="Arial"/>
        <family val="0"/>
        <charset val="1"/>
      </rPr>
      <t xml:space="preserve">(INV-01/INV-02)</t>
    </r>
  </si>
  <si>
    <t xml:space="preserve">boardOnlyScheduleCells</t>
  </si>
  <si>
    <t xml:space="preserve">回帰になるため戻さない</t>
  </si>
  <si>
    <r>
      <rPr>
        <sz val="10"/>
        <rFont val="Arial"/>
        <family val="0"/>
        <charset val="1"/>
      </rPr>
      <t xml:space="preserve">App.tsx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ScheduleBoardScreen.tsx</t>
    </r>
  </si>
  <si>
    <r>
      <rPr>
        <sz val="10"/>
        <rFont val="Arial"/>
        <family val="0"/>
        <charset val="1"/>
      </rPr>
      <t xml:space="preserve">OFF </t>
    </r>
    <r>
      <rPr>
        <sz val="10"/>
        <rFont val="WenQuanYi Zen Hei"/>
        <family val="2"/>
      </rPr>
      <t xml:space="preserve">にすると盤面と日程表のズレが再発する</t>
    </r>
  </si>
  <si>
    <t xml:space="preserve">手動保存の再試行・退避バックアップ</t>
  </si>
  <si>
    <t xml:space="preserve">manualFirebaseSaveStability</t>
  </si>
  <si>
    <r>
      <rPr>
        <sz val="10"/>
        <rFont val="Arial"/>
        <family val="0"/>
        <charset val="1"/>
      </rPr>
      <t xml:space="preserve">App.tsx </t>
    </r>
    <r>
      <rPr>
        <sz val="10"/>
        <rFont val="WenQuanYi Zen Hei"/>
        <family val="2"/>
      </rPr>
      <t xml:space="preserve">保存経路</t>
    </r>
  </si>
  <si>
    <t xml:space="preserve">保存の信頼性</t>
  </si>
  <si>
    <r>
      <rPr>
        <sz val="10"/>
        <rFont val="WenQuanYi Zen Hei"/>
        <family val="2"/>
      </rPr>
      <t xml:space="preserve">日程表ポップアップの </t>
    </r>
    <r>
      <rPr>
        <sz val="10"/>
        <rFont val="Arial"/>
        <family val="0"/>
        <charset val="1"/>
      </rPr>
      <t xml:space="preserve">QR </t>
    </r>
    <r>
      <rPr>
        <sz val="10"/>
        <rFont val="WenQuanYi Zen Hei"/>
        <family val="2"/>
      </rPr>
      <t xml:space="preserve">提出表示</t>
    </r>
  </si>
  <si>
    <t xml:space="preserve">scheduleQrPopupBehavior</t>
  </si>
  <si>
    <t xml:space="preserve">日程表ポップアップ</t>
  </si>
  <si>
    <t xml:space="preserve">提出状態の整合</t>
  </si>
  <si>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フラグ無し・入口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箇所</t>
    </r>
  </si>
  <si>
    <r>
      <rPr>
        <sz val="10"/>
        <rFont val="WenQuanYi Zen Hei"/>
        <family val="2"/>
      </rPr>
      <t xml:space="preserve">質問・要望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盤面ツールバー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</si>
  <si>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未登録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</si>
  <si>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○ フラグ登録＋ゲート＋テスト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件</t>
    </r>
  </si>
  <si>
    <r>
      <rPr>
        <sz val="10"/>
        <rFont val="Arial"/>
        <family val="0"/>
        <charset val="1"/>
      </rPr>
      <t xml:space="preserve">onReportToDeveloper </t>
    </r>
    <r>
      <rPr>
        <sz val="10"/>
        <rFont val="WenQuanYi Zen Hei"/>
        <family val="2"/>
      </rPr>
      <t xml:space="preserve">を渡さなければ消える</t>
    </r>
  </si>
  <si>
    <t xml:space="preserve">BoardToolbar.tsx</t>
  </si>
  <si>
    <r>
      <rPr>
        <sz val="10"/>
        <rFont val="Arial"/>
        <family val="0"/>
        <charset val="1"/>
      </rPr>
      <t xml:space="preserve">optional prop </t>
    </r>
    <r>
      <rPr>
        <sz val="10"/>
        <rFont val="WenQuanYi Zen Hei"/>
        <family val="2"/>
      </rPr>
      <t xml:space="preserve">方式の見本</t>
    </r>
  </si>
  <si>
    <r>
      <rPr>
        <sz val="10"/>
        <rFont val="WenQuanYi Zen Hei"/>
        <family val="2"/>
      </rPr>
      <t xml:space="preserve">質問・要望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日程表タブ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</si>
  <si>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ボタン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行を </t>
    </r>
    <r>
      <rPr>
        <sz val="10"/>
        <rFont val="Arial"/>
        <family val="0"/>
        <charset val="1"/>
      </rPr>
      <t xml:space="preserve">payload </t>
    </r>
    <r>
      <rPr>
        <sz val="10"/>
        <rFont val="WenQuanYi Zen Hei"/>
        <family val="2"/>
      </rPr>
      <t xml:space="preserve">のフラグで出し分け</t>
    </r>
  </si>
  <si>
    <t xml:space="preserve">scheduleHtml.ts schedule-report-developer-button</t>
  </si>
  <si>
    <t xml:space="preserve">盤面側と同じフラグで揃える</t>
  </si>
  <si>
    <r>
      <rPr>
        <sz val="10"/>
        <rFont val="WenQuanYi Zen Hei"/>
        <family val="2"/>
      </rPr>
      <t xml:space="preserve">講師日程共有</t>
    </r>
    <r>
      <rPr>
        <sz val="10"/>
        <rFont val="Arial"/>
        <family val="0"/>
        <charset val="1"/>
      </rPr>
      <t xml:space="preserve">(QR/URL)</t>
    </r>
  </si>
  <si>
    <r>
      <rPr>
        <sz val="10"/>
        <rFont val="Arial"/>
        <family val="0"/>
        <charset val="1"/>
      </rPr>
      <t xml:space="preserve">onCopyDistributionUrl </t>
    </r>
    <r>
      <rPr>
        <sz val="10"/>
        <rFont val="WenQuanYi Zen Hei"/>
        <family val="2"/>
      </rPr>
      <t xml:space="preserve">を渡さなければ消える</t>
    </r>
  </si>
  <si>
    <r>
      <rPr>
        <sz val="10"/>
        <rFont val="WenQuanYi Zen Hei"/>
        <family val="2"/>
      </rPr>
      <t xml:space="preserve">既に配った </t>
    </r>
    <r>
      <rPr>
        <sz val="10"/>
        <rFont val="Arial"/>
        <family val="0"/>
        <charset val="1"/>
      </rPr>
      <t xml:space="preserve">URL </t>
    </r>
    <r>
      <rPr>
        <sz val="10"/>
        <rFont val="WenQuanYi Zen Hei"/>
        <family val="2"/>
      </rPr>
      <t xml:space="preserve">は生き続ける</t>
    </r>
    <r>
      <rPr>
        <sz val="10"/>
        <rFont val="Arial"/>
        <family val="0"/>
        <charset val="1"/>
      </rPr>
      <t xml:space="preserve">(boardShares </t>
    </r>
    <r>
      <rPr>
        <sz val="10"/>
        <rFont val="WenQuanYi Zen Hei"/>
        <family val="2"/>
      </rPr>
      <t xml:space="preserve">公開読み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</si>
  <si>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並べ替え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席詰め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席順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</si>
  <si>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ツールバーのボタン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個をゲート</t>
    </r>
  </si>
  <si>
    <t xml:space="preserve">BoardToolbar.tsx onOpenSortMenu</t>
  </si>
  <si>
    <r>
      <rPr>
        <sz val="10"/>
        <rFont val="WenQuanYi Zen Hei"/>
        <family val="2"/>
      </rPr>
      <t xml:space="preserve">講師日程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別タブ</t>
    </r>
    <r>
      <rPr>
        <sz val="10"/>
        <rFont val="Arial"/>
        <family val="0"/>
        <charset val="1"/>
      </rPr>
      <t xml:space="preserve">)</t>
    </r>
  </si>
  <si>
    <t xml:space="preserve">BoardToolbar.tsx onOpenTeacherSchedule</t>
  </si>
  <si>
    <t xml:space="preserve">生徒日程は基幹なので対象外</t>
  </si>
  <si>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出力</t>
    </r>
  </si>
  <si>
    <t xml:space="preserve">BoardToolbar.tsx onPrintPdf</t>
  </si>
  <si>
    <r>
      <rPr>
        <sz val="10"/>
        <rFont val="WenQuanYi Zen Hei"/>
        <family val="2"/>
      </rPr>
      <t xml:space="preserve">コマ選択</t>
    </r>
    <r>
      <rPr>
        <sz val="10"/>
        <rFont val="Arial"/>
        <family val="0"/>
        <charset val="1"/>
      </rPr>
      <t xml:space="preserve">(boardPrintSelection)</t>
    </r>
    <r>
      <rPr>
        <sz val="10"/>
        <rFont val="WenQuanYi Zen Hei"/>
        <family val="2"/>
      </rPr>
      <t xml:space="preserve">と同居</t>
    </r>
  </si>
  <si>
    <t xml:space="preserve">空フォーマット印刷</t>
  </si>
  <si>
    <r>
      <rPr>
        <sz val="10"/>
        <rFont val="WenQuanYi Zen Hei"/>
        <family val="2"/>
      </rPr>
      <t xml:space="preserve">日程表タブのボタン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行</t>
    </r>
  </si>
  <si>
    <t xml:space="preserve">scheduleHtml.ts schedule-empty-format-button</t>
  </si>
  <si>
    <r>
      <rPr>
        <sz val="10"/>
        <rFont val="Arial"/>
        <family val="0"/>
        <charset val="1"/>
      </rPr>
      <t xml:space="preserve">localStorage </t>
    </r>
    <r>
      <rPr>
        <sz val="10"/>
        <rFont val="WenQuanYi Zen Hei"/>
        <family val="2"/>
      </rPr>
      <t xml:space="preserve">のみで最も安全</t>
    </r>
  </si>
  <si>
    <t xml:space="preserve">講習集計結果</t>
  </si>
  <si>
    <t xml:space="preserve">scheduleHtml.ts schedule-lecture-summary-button</t>
  </si>
  <si>
    <t xml:space="preserve">表示専用</t>
  </si>
  <si>
    <t xml:space="preserve">印刷用全員表示</t>
  </si>
  <si>
    <t xml:space="preserve">scheduleHtml.ts schedule-show-all-button</t>
  </si>
  <si>
    <t xml:space="preserve">丸ごと振替</t>
  </si>
  <si>
    <r>
      <rPr>
        <sz val="10"/>
        <rFont val="WenQuanYi Zen Hei"/>
        <family val="2"/>
      </rPr>
      <t xml:space="preserve">日付メニューの項目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個をゲート</t>
    </r>
  </si>
  <si>
    <r>
      <rPr>
        <sz val="10"/>
        <rFont val="Arial"/>
        <family val="0"/>
        <charset val="1"/>
      </rPr>
      <t xml:space="preserve">ScheduleBoardScreen.tsx </t>
    </r>
    <r>
      <rPr>
        <sz val="10"/>
        <rFont val="WenQuanYi Zen Hei"/>
        <family val="2"/>
      </rPr>
      <t xml:space="preserve">日付メニュー</t>
    </r>
  </si>
  <si>
    <r>
      <rPr>
        <sz val="10"/>
        <rFont val="WenQuanYi Zen Hei"/>
        <family val="2"/>
      </rPr>
      <t xml:space="preserve">生徒を空にする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日付メニュー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</si>
  <si>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自動割振ボタン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在庫モーダル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</si>
  <si>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ボタン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個をゲート</t>
    </r>
  </si>
  <si>
    <r>
      <rPr>
        <sz val="10"/>
        <rFont val="Arial"/>
        <family val="0"/>
        <charset val="1"/>
      </rPr>
      <t xml:space="preserve">ScheduleBoardScreen.tsx </t>
    </r>
    <r>
      <rPr>
        <sz val="10"/>
        <rFont val="WenQuanYi Zen Hei"/>
        <family val="2"/>
      </rPr>
      <t xml:space="preserve">在庫モーダル</t>
    </r>
  </si>
  <si>
    <t xml:space="preserve">個別割振は残る</t>
  </si>
  <si>
    <t xml:space="preserve">振替も同時に自動割り当て</t>
  </si>
  <si>
    <r>
      <rPr>
        <sz val="10"/>
        <rFont val="WenQuanYi Zen Hei"/>
        <family val="2"/>
      </rPr>
      <t xml:space="preserve">チェック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個をゲート</t>
    </r>
  </si>
  <si>
    <t xml:space="preserve">自動割振結果パネル</t>
  </si>
  <si>
    <r>
      <rPr>
        <sz val="10"/>
        <rFont val="WenQuanYi Zen Hei"/>
        <family val="2"/>
      </rPr>
      <t xml:space="preserve">表示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箇所をゲート</t>
    </r>
  </si>
  <si>
    <t xml:space="preserve">開発用途の表示</t>
  </si>
  <si>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入口＋もう一手</t>
    </r>
  </si>
  <si>
    <t xml:space="preserve">休日設定</t>
  </si>
  <si>
    <t xml:space="preserve">△ 入口に加えて裏の処理の停止が要る</t>
  </si>
  <si>
    <t xml:space="preserve">日付メニューの項目＋代替入口の用意</t>
  </si>
  <si>
    <r>
      <rPr>
        <sz val="10"/>
        <rFont val="WenQuanYi Zen Hei"/>
        <family val="2"/>
      </rPr>
      <t xml:space="preserve">手動追加の在庫返却</t>
    </r>
    <r>
      <rPr>
        <sz val="10"/>
        <rFont val="Arial"/>
        <family val="0"/>
        <charset val="1"/>
      </rPr>
      <t xml:space="preserve">(v1.5.579)</t>
    </r>
    <r>
      <rPr>
        <sz val="10"/>
        <rFont val="WenQuanYi Zen Hei"/>
        <family val="2"/>
      </rPr>
      <t xml:space="preserve">も絡む</t>
    </r>
  </si>
  <si>
    <t xml:space="preserve">通常授業テンプレ作成</t>
  </si>
  <si>
    <t xml:space="preserve">ツールバーのボタン＋既存テンプレの扱い</t>
  </si>
  <si>
    <t xml:space="preserve">BoardToolbar.tsx onOpenRegularTemplate</t>
  </si>
  <si>
    <t xml:space="preserve">既存テンプレは効き続ける。危険操作なので隠す価値は高い</t>
  </si>
  <si>
    <t xml:space="preserve">自動割振ルール画面・ペア制約</t>
  </si>
  <si>
    <t xml:space="preserve">メニュー項目＋既存ルールの扱い</t>
  </si>
  <si>
    <r>
      <rPr>
        <sz val="10"/>
        <rFont val="Arial"/>
        <family val="0"/>
        <charset val="1"/>
      </rPr>
      <t xml:space="preserve">AppMenu.tsx </t>
    </r>
    <r>
      <rPr>
        <sz val="10"/>
        <rFont val="WenQuanYi Zen Hei"/>
        <family val="2"/>
      </rPr>
      <t xml:space="preserve">自動割振ルール</t>
    </r>
  </si>
  <si>
    <t xml:space="preserve">既存ルールは効き続ける</t>
  </si>
  <si>
    <t xml:space="preserve">外部生チェック</t>
  </si>
  <si>
    <t xml:space="preserve">基本データの列＋表示側も切る</t>
  </si>
  <si>
    <t xml:space="preserve">BasicDataScreen.tsx</t>
  </si>
  <si>
    <t xml:space="preserve">後から出席可能に変更</t>
  </si>
  <si>
    <r>
      <rPr>
        <sz val="10"/>
        <rFont val="WenQuanYi Zen Hei"/>
        <family val="2"/>
      </rPr>
      <t xml:space="preserve">メニュー項目＋既存 </t>
    </r>
    <r>
      <rPr>
        <sz val="10"/>
        <rFont val="Arial"/>
        <family val="0"/>
        <charset val="1"/>
      </rPr>
      <t xml:space="preserve">reopenedSlots </t>
    </r>
    <r>
      <rPr>
        <sz val="10"/>
        <rFont val="WenQuanYi Zen Hei"/>
        <family val="2"/>
      </rPr>
      <t xml:space="preserve">の扱い</t>
    </r>
  </si>
  <si>
    <r>
      <rPr>
        <sz val="10"/>
        <rFont val="WenQuanYi Zen Hei"/>
        <family val="2"/>
      </rPr>
      <t xml:space="preserve">既存の </t>
    </r>
    <r>
      <rPr>
        <sz val="10"/>
        <rFont val="Arial"/>
        <family val="0"/>
        <charset val="1"/>
      </rPr>
      <t xml:space="preserve">reopenedSlots </t>
    </r>
    <r>
      <rPr>
        <sz val="10"/>
        <rFont val="WenQuanYi Zen Hei"/>
        <family val="2"/>
      </rPr>
      <t xml:space="preserve">は効き続ける</t>
    </r>
  </si>
  <si>
    <r>
      <rPr>
        <sz val="10"/>
        <rFont val="WenQuanYi Zen Hei"/>
        <family val="2"/>
      </rPr>
      <t xml:space="preserve">集団授業の盤面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行＋メニュー</t>
    </r>
  </si>
  <si>
    <r>
      <rPr>
        <sz val="10"/>
        <rFont val="Arial"/>
        <family val="0"/>
        <charset val="1"/>
      </rPr>
      <t xml:space="preserve">BoardGrid </t>
    </r>
    <r>
      <rPr>
        <sz val="10"/>
        <rFont val="WenQuanYi Zen Hei"/>
        <family val="2"/>
      </rPr>
      <t xml:space="preserve">の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行＋メニュー項目</t>
    </r>
  </si>
  <si>
    <r>
      <rPr>
        <sz val="10"/>
        <rFont val="Arial"/>
        <family val="0"/>
        <charset val="1"/>
      </rPr>
      <t xml:space="preserve">BoardGrid.tsx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ScheduleBoardScreen.tsx</t>
    </r>
  </si>
  <si>
    <t xml:space="preserve">既存割当がある教室は日程表に残る。入口だけなら○寄り</t>
  </si>
  <si>
    <t xml:space="preserve">バックアップ・復元タブ</t>
  </si>
  <si>
    <r>
      <rPr>
        <sz val="10"/>
        <rFont val="WenQuanYi Zen Hei"/>
        <family val="2"/>
      </rPr>
      <t xml:space="preserve">メニュー項目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セクション単位なら○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</si>
  <si>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AppMenu.tsx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BackupRestoreScreen.tsx</t>
    </r>
  </si>
  <si>
    <t xml:space="preserve">初期設定も同居</t>
  </si>
  <si>
    <r>
      <rPr>
        <sz val="10"/>
        <rFont val="Arial"/>
        <family val="0"/>
        <charset val="1"/>
      </rPr>
      <t xml:space="preserve">QR </t>
    </r>
    <r>
      <rPr>
        <sz val="10"/>
        <rFont val="WenQuanYi Zen Hei"/>
        <family val="2"/>
      </rPr>
      <t xml:space="preserve">提出・講習提出</t>
    </r>
  </si>
  <si>
    <t xml:space="preserve">入口＋購読と起動時自己修復の停止</t>
  </si>
  <si>
    <r>
      <rPr>
        <sz val="10"/>
        <rFont val="Arial"/>
        <family val="0"/>
        <charset val="1"/>
      </rPr>
      <t xml:space="preserve">App.tsx </t>
    </r>
    <r>
      <rPr>
        <sz val="10"/>
        <rFont val="WenQuanYi Zen Hei"/>
        <family val="2"/>
      </rPr>
      <t xml:space="preserve">購読・</t>
    </r>
    <r>
      <rPr>
        <sz val="10"/>
        <rFont val="Arial"/>
        <family val="0"/>
        <charset val="1"/>
      </rPr>
      <t xml:space="preserve">SubmissionPage</t>
    </r>
  </si>
  <si>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切らない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基幹</t>
    </r>
    <r>
      <rPr>
        <sz val="10"/>
        <rFont val="Arial"/>
        <family val="0"/>
        <charset val="1"/>
      </rPr>
      <t xml:space="preserve">)</t>
    </r>
  </si>
  <si>
    <t xml:space="preserve">基本データ画面</t>
  </si>
  <si>
    <r>
      <rPr>
        <sz val="10"/>
        <rFont val="Arial"/>
        <family val="0"/>
        <charset val="1"/>
      </rPr>
      <t xml:space="preserve">AppMenu.tsx </t>
    </r>
    <r>
      <rPr>
        <sz val="10"/>
        <rFont val="WenQuanYi Zen Hei"/>
        <family val="2"/>
      </rPr>
      <t xml:space="preserve">基本データ</t>
    </r>
  </si>
  <si>
    <t xml:space="preserve">基幹</t>
  </si>
  <si>
    <r>
      <rPr>
        <sz val="10"/>
        <rFont val="WenQuanYi Zen Hei"/>
        <family val="2"/>
      </rPr>
      <t xml:space="preserve">生徒日程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別タブ</t>
    </r>
    <r>
      <rPr>
        <sz val="10"/>
        <rFont val="Arial"/>
        <family val="0"/>
        <charset val="1"/>
      </rPr>
      <t xml:space="preserve">)</t>
    </r>
  </si>
  <si>
    <t xml:space="preserve">BoardToolbar.tsx onOpenStudentSchedule</t>
  </si>
  <si>
    <t xml:space="preserve">講習ストック・未消化振替チップ</t>
  </si>
  <si>
    <t xml:space="preserve">在庫は裏で動くため実質不可</t>
  </si>
  <si>
    <t xml:space="preserve">特別講習データ画面</t>
  </si>
  <si>
    <t xml:space="preserve">仕様変更が要る</t>
  </si>
  <si>
    <r>
      <rPr>
        <sz val="10"/>
        <rFont val="Arial"/>
        <family val="0"/>
        <charset val="1"/>
      </rPr>
      <t xml:space="preserve">AppMenu.tsx </t>
    </r>
    <r>
      <rPr>
        <sz val="10"/>
        <rFont val="WenQuanYi Zen Hei"/>
        <family val="2"/>
      </rPr>
      <t xml:space="preserve">特別講習データ</t>
    </r>
  </si>
  <si>
    <r>
      <rPr>
        <sz val="10"/>
        <rFont val="WenQuanYi Zen Hei"/>
        <family val="2"/>
      </rPr>
      <t xml:space="preserve">請求画面</t>
    </r>
    <r>
      <rPr>
        <sz val="10"/>
        <rFont val="Arial"/>
        <family val="0"/>
        <charset val="1"/>
      </rPr>
      <t xml:space="preserve">(/billing)</t>
    </r>
  </si>
  <si>
    <t xml:space="preserve">開発者のみ</t>
  </si>
  <si>
    <t xml:space="preserve">App.tsx /billing</t>
  </si>
  <si>
    <t xml:space="preserve">開発者専用で教室の機能ではない</t>
  </si>
  <si>
    <t xml:space="preserve">判定</t>
  </si>
  <si>
    <t xml:space="preserve">件数</t>
  </si>
  <si>
    <r>
      <rPr>
        <sz val="10"/>
        <rFont val="WenQuanYi Zen Hei"/>
        <family val="2"/>
      </rPr>
      <t xml:space="preserve">○ 入口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箇所</t>
    </r>
  </si>
  <si>
    <t xml:space="preserve">△ 入口＋もう一手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</si>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</sst>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i val="true"/>
      <sz val="10"/>
      <name val="WenQuanYi Zen Hei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1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5" customFormat="false" ht="28.3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26.85" hidden="false" customHeight="false" outlineLevel="0" collapsed="false">
      <c r="A6" s="4" t="s">
        <v>12</v>
      </c>
      <c r="B6" s="5" t="s">
        <v>13</v>
      </c>
      <c r="C6" s="4" t="s">
        <v>14</v>
      </c>
      <c r="D6" s="4" t="s">
        <v>15</v>
      </c>
      <c r="E6" s="4" t="s">
        <v>16</v>
      </c>
      <c r="F6" s="6" t="s">
        <v>17</v>
      </c>
      <c r="G6" s="4" t="s">
        <v>18</v>
      </c>
      <c r="H6" s="4" t="s">
        <v>19</v>
      </c>
      <c r="I6" s="5" t="s">
        <v>20</v>
      </c>
    </row>
    <row r="7" customFormat="false" ht="26.85" hidden="false" customHeight="false" outlineLevel="0" collapsed="false">
      <c r="A7" s="4" t="s">
        <v>12</v>
      </c>
      <c r="B7" s="5" t="s">
        <v>21</v>
      </c>
      <c r="C7" s="4" t="s">
        <v>22</v>
      </c>
      <c r="D7" s="4" t="s">
        <v>15</v>
      </c>
      <c r="E7" s="4" t="s">
        <v>16</v>
      </c>
      <c r="F7" s="6" t="s">
        <v>17</v>
      </c>
      <c r="G7" s="4" t="s">
        <v>23</v>
      </c>
      <c r="H7" s="5" t="s">
        <v>24</v>
      </c>
      <c r="I7" s="4" t="s">
        <v>25</v>
      </c>
    </row>
    <row r="8" customFormat="false" ht="26.85" hidden="false" customHeight="false" outlineLevel="0" collapsed="false">
      <c r="A8" s="4" t="s">
        <v>12</v>
      </c>
      <c r="B8" s="5" t="s">
        <v>26</v>
      </c>
      <c r="C8" s="4" t="s">
        <v>27</v>
      </c>
      <c r="D8" s="4" t="s">
        <v>15</v>
      </c>
      <c r="E8" s="4" t="s">
        <v>16</v>
      </c>
      <c r="F8" s="6" t="s">
        <v>17</v>
      </c>
      <c r="G8" s="4" t="s">
        <v>23</v>
      </c>
      <c r="H8" s="5" t="s">
        <v>28</v>
      </c>
      <c r="I8" s="4" t="s">
        <v>29</v>
      </c>
    </row>
    <row r="9" customFormat="false" ht="26.85" hidden="false" customHeight="false" outlineLevel="0" collapsed="false">
      <c r="A9" s="4" t="s">
        <v>12</v>
      </c>
      <c r="B9" s="5" t="s">
        <v>30</v>
      </c>
      <c r="C9" s="4" t="s">
        <v>31</v>
      </c>
      <c r="D9" s="4" t="s">
        <v>15</v>
      </c>
      <c r="E9" s="4" t="s">
        <v>16</v>
      </c>
      <c r="F9" s="6" t="s">
        <v>17</v>
      </c>
      <c r="G9" s="4" t="s">
        <v>32</v>
      </c>
      <c r="H9" s="5" t="s">
        <v>33</v>
      </c>
      <c r="I9" s="5" t="s">
        <v>34</v>
      </c>
    </row>
    <row r="10" customFormat="false" ht="15" hidden="false" customHeight="false" outlineLevel="0" collapsed="false">
      <c r="A10" s="4" t="s">
        <v>12</v>
      </c>
      <c r="B10" s="5" t="s">
        <v>35</v>
      </c>
      <c r="C10" s="4" t="s">
        <v>36</v>
      </c>
      <c r="D10" s="4" t="s">
        <v>15</v>
      </c>
      <c r="E10" s="4" t="s">
        <v>16</v>
      </c>
      <c r="F10" s="6" t="s">
        <v>17</v>
      </c>
      <c r="G10" s="4" t="s">
        <v>32</v>
      </c>
      <c r="H10" s="5" t="s">
        <v>37</v>
      </c>
      <c r="I10" s="5" t="s">
        <v>38</v>
      </c>
    </row>
    <row r="11" customFormat="false" ht="26.85" hidden="false" customHeight="false" outlineLevel="0" collapsed="false">
      <c r="A11" s="4" t="s">
        <v>12</v>
      </c>
      <c r="B11" s="5" t="s">
        <v>39</v>
      </c>
      <c r="C11" s="4" t="s">
        <v>40</v>
      </c>
      <c r="D11" s="4" t="s">
        <v>15</v>
      </c>
      <c r="E11" s="4" t="s">
        <v>16</v>
      </c>
      <c r="F11" s="6" t="s">
        <v>17</v>
      </c>
      <c r="G11" s="4" t="s">
        <v>32</v>
      </c>
      <c r="H11" s="5" t="s">
        <v>41</v>
      </c>
      <c r="I11" s="5" t="s">
        <v>42</v>
      </c>
    </row>
    <row r="12" customFormat="false" ht="26.85" hidden="false" customHeight="false" outlineLevel="0" collapsed="false">
      <c r="A12" s="4" t="s">
        <v>12</v>
      </c>
      <c r="B12" s="5" t="s">
        <v>43</v>
      </c>
      <c r="C12" s="4" t="s">
        <v>44</v>
      </c>
      <c r="D12" s="4" t="s">
        <v>15</v>
      </c>
      <c r="E12" s="4" t="s">
        <v>16</v>
      </c>
      <c r="F12" s="7" t="s">
        <v>45</v>
      </c>
      <c r="G12" s="5" t="s">
        <v>46</v>
      </c>
      <c r="H12" s="5" t="s">
        <v>47</v>
      </c>
      <c r="I12" s="5" t="s">
        <v>48</v>
      </c>
    </row>
    <row r="13" customFormat="false" ht="26.85" hidden="false" customHeight="false" outlineLevel="0" collapsed="false">
      <c r="A13" s="4" t="s">
        <v>12</v>
      </c>
      <c r="B13" s="5" t="s">
        <v>49</v>
      </c>
      <c r="C13" s="4" t="s">
        <v>50</v>
      </c>
      <c r="D13" s="4" t="s">
        <v>15</v>
      </c>
      <c r="E13" s="4" t="s">
        <v>16</v>
      </c>
      <c r="F13" s="7" t="s">
        <v>51</v>
      </c>
      <c r="G13" s="5" t="s">
        <v>52</v>
      </c>
      <c r="H13" s="4" t="s">
        <v>53</v>
      </c>
      <c r="I13" s="5" t="s">
        <v>54</v>
      </c>
    </row>
    <row r="14" customFormat="false" ht="15" hidden="false" customHeight="false" outlineLevel="0" collapsed="false">
      <c r="A14" s="4" t="s">
        <v>55</v>
      </c>
      <c r="B14" s="5" t="s">
        <v>56</v>
      </c>
      <c r="C14" s="4" t="s">
        <v>57</v>
      </c>
      <c r="D14" s="4" t="s">
        <v>15</v>
      </c>
      <c r="E14" s="4" t="s">
        <v>15</v>
      </c>
      <c r="F14" s="6" t="s">
        <v>17</v>
      </c>
      <c r="G14" s="4" t="s">
        <v>32</v>
      </c>
      <c r="H14" s="4" t="s">
        <v>58</v>
      </c>
      <c r="I14" s="4"/>
    </row>
    <row r="15" customFormat="false" ht="15" hidden="false" customHeight="false" outlineLevel="0" collapsed="false">
      <c r="A15" s="4" t="s">
        <v>55</v>
      </c>
      <c r="B15" s="5" t="s">
        <v>59</v>
      </c>
      <c r="C15" s="4" t="s">
        <v>60</v>
      </c>
      <c r="D15" s="4" t="s">
        <v>15</v>
      </c>
      <c r="E15" s="4" t="s">
        <v>15</v>
      </c>
      <c r="F15" s="6" t="s">
        <v>17</v>
      </c>
      <c r="G15" s="4" t="s">
        <v>32</v>
      </c>
      <c r="H15" s="4" t="s">
        <v>58</v>
      </c>
      <c r="I15" s="4"/>
    </row>
    <row r="16" customFormat="false" ht="15" hidden="false" customHeight="false" outlineLevel="0" collapsed="false">
      <c r="A16" s="4" t="s">
        <v>55</v>
      </c>
      <c r="B16" s="5" t="s">
        <v>61</v>
      </c>
      <c r="C16" s="4" t="s">
        <v>62</v>
      </c>
      <c r="D16" s="4" t="s">
        <v>15</v>
      </c>
      <c r="E16" s="4" t="s">
        <v>15</v>
      </c>
      <c r="F16" s="6" t="s">
        <v>17</v>
      </c>
      <c r="G16" s="4" t="s">
        <v>32</v>
      </c>
      <c r="H16" s="4" t="s">
        <v>63</v>
      </c>
      <c r="I16" s="4"/>
    </row>
    <row r="17" customFormat="false" ht="15" hidden="false" customHeight="false" outlineLevel="0" collapsed="false">
      <c r="A17" s="4" t="s">
        <v>55</v>
      </c>
      <c r="B17" s="5" t="s">
        <v>64</v>
      </c>
      <c r="C17" s="4" t="s">
        <v>65</v>
      </c>
      <c r="D17" s="4" t="s">
        <v>15</v>
      </c>
      <c r="E17" s="4" t="s">
        <v>15</v>
      </c>
      <c r="F17" s="6" t="s">
        <v>17</v>
      </c>
      <c r="G17" s="4" t="s">
        <v>32</v>
      </c>
      <c r="H17" s="4" t="s">
        <v>58</v>
      </c>
      <c r="I17" s="4" t="s">
        <v>66</v>
      </c>
    </row>
    <row r="18" customFormat="false" ht="26.85" hidden="false" customHeight="false" outlineLevel="0" collapsed="false">
      <c r="A18" s="4" t="s">
        <v>55</v>
      </c>
      <c r="B18" s="5" t="s">
        <v>67</v>
      </c>
      <c r="C18" s="4" t="s">
        <v>68</v>
      </c>
      <c r="D18" s="4" t="s">
        <v>15</v>
      </c>
      <c r="E18" s="4" t="s">
        <v>15</v>
      </c>
      <c r="F18" s="6" t="s">
        <v>17</v>
      </c>
      <c r="G18" s="4" t="s">
        <v>32</v>
      </c>
      <c r="H18" s="4" t="s">
        <v>69</v>
      </c>
      <c r="I18" s="4" t="s">
        <v>70</v>
      </c>
    </row>
    <row r="19" customFormat="false" ht="25.35" hidden="false" customHeight="false" outlineLevel="0" collapsed="false">
      <c r="A19" s="4" t="s">
        <v>55</v>
      </c>
      <c r="B19" s="5" t="s">
        <v>71</v>
      </c>
      <c r="C19" s="4" t="s">
        <v>72</v>
      </c>
      <c r="D19" s="4" t="s">
        <v>15</v>
      </c>
      <c r="E19" s="4" t="s">
        <v>15</v>
      </c>
      <c r="F19" s="6" t="s">
        <v>17</v>
      </c>
      <c r="G19" s="4" t="s">
        <v>32</v>
      </c>
      <c r="H19" s="4" t="s">
        <v>73</v>
      </c>
      <c r="I19" s="4" t="s">
        <v>74</v>
      </c>
    </row>
    <row r="20" customFormat="false" ht="26.85" hidden="false" customHeight="false" outlineLevel="0" collapsed="false">
      <c r="A20" s="4" t="s">
        <v>55</v>
      </c>
      <c r="B20" s="5" t="s">
        <v>75</v>
      </c>
      <c r="C20" s="4" t="s">
        <v>76</v>
      </c>
      <c r="D20" s="4" t="s">
        <v>15</v>
      </c>
      <c r="E20" s="4" t="s">
        <v>15</v>
      </c>
      <c r="F20" s="6" t="s">
        <v>17</v>
      </c>
      <c r="G20" s="4" t="s">
        <v>32</v>
      </c>
      <c r="H20" s="5" t="s">
        <v>77</v>
      </c>
      <c r="I20" s="5" t="s">
        <v>78</v>
      </c>
    </row>
    <row r="21" customFormat="false" ht="26.85" hidden="false" customHeight="false" outlineLevel="0" collapsed="false">
      <c r="A21" s="4" t="s">
        <v>79</v>
      </c>
      <c r="B21" s="5" t="s">
        <v>80</v>
      </c>
      <c r="C21" s="4" t="s">
        <v>81</v>
      </c>
      <c r="D21" s="4" t="s">
        <v>15</v>
      </c>
      <c r="E21" s="4" t="s">
        <v>15</v>
      </c>
      <c r="F21" s="7" t="s">
        <v>45</v>
      </c>
      <c r="G21" s="5" t="s">
        <v>82</v>
      </c>
      <c r="H21" s="4" t="s">
        <v>83</v>
      </c>
      <c r="I21" s="4" t="s">
        <v>84</v>
      </c>
    </row>
    <row r="22" customFormat="false" ht="26.85" hidden="false" customHeight="false" outlineLevel="0" collapsed="false">
      <c r="A22" s="4" t="s">
        <v>79</v>
      </c>
      <c r="B22" s="5" t="s">
        <v>85</v>
      </c>
      <c r="C22" s="4" t="s">
        <v>86</v>
      </c>
      <c r="D22" s="4" t="s">
        <v>15</v>
      </c>
      <c r="E22" s="4" t="s">
        <v>15</v>
      </c>
      <c r="F22" s="7" t="s">
        <v>45</v>
      </c>
      <c r="G22" s="5" t="s">
        <v>82</v>
      </c>
      <c r="H22" s="4" t="s">
        <v>87</v>
      </c>
      <c r="I22" s="5" t="s">
        <v>88</v>
      </c>
    </row>
    <row r="23" customFormat="false" ht="26.85" hidden="false" customHeight="false" outlineLevel="0" collapsed="false">
      <c r="A23" s="4" t="s">
        <v>79</v>
      </c>
      <c r="B23" s="5" t="s">
        <v>89</v>
      </c>
      <c r="C23" s="4" t="s">
        <v>90</v>
      </c>
      <c r="D23" s="4" t="s">
        <v>15</v>
      </c>
      <c r="E23" s="4" t="s">
        <v>15</v>
      </c>
      <c r="F23" s="7" t="s">
        <v>45</v>
      </c>
      <c r="G23" s="5" t="s">
        <v>82</v>
      </c>
      <c r="H23" s="5" t="s">
        <v>91</v>
      </c>
      <c r="I23" s="5" t="s">
        <v>92</v>
      </c>
    </row>
    <row r="24" customFormat="false" ht="26.85" hidden="false" customHeight="false" outlineLevel="0" collapsed="false">
      <c r="A24" s="4" t="s">
        <v>93</v>
      </c>
      <c r="B24" s="5" t="s">
        <v>94</v>
      </c>
      <c r="C24" s="4" t="s">
        <v>95</v>
      </c>
      <c r="D24" s="4" t="s">
        <v>15</v>
      </c>
      <c r="E24" s="4" t="s">
        <v>15</v>
      </c>
      <c r="F24" s="8" t="s">
        <v>96</v>
      </c>
      <c r="G24" s="4" t="s">
        <v>97</v>
      </c>
      <c r="H24" s="4" t="s">
        <v>98</v>
      </c>
      <c r="I24" s="4" t="s">
        <v>99</v>
      </c>
    </row>
    <row r="25" customFormat="false" ht="26.85" hidden="false" customHeight="false" outlineLevel="0" collapsed="false">
      <c r="A25" s="4" t="s">
        <v>93</v>
      </c>
      <c r="B25" s="5" t="s">
        <v>100</v>
      </c>
      <c r="C25" s="4" t="s">
        <v>95</v>
      </c>
      <c r="D25" s="4" t="s">
        <v>15</v>
      </c>
      <c r="E25" s="4" t="s">
        <v>15</v>
      </c>
      <c r="F25" s="8" t="s">
        <v>96</v>
      </c>
      <c r="G25" s="5" t="s">
        <v>101</v>
      </c>
      <c r="H25" s="4" t="s">
        <v>102</v>
      </c>
      <c r="I25" s="5" t="s">
        <v>103</v>
      </c>
    </row>
    <row r="26" customFormat="false" ht="26.85" hidden="false" customHeight="false" outlineLevel="0" collapsed="false">
      <c r="A26" s="4" t="s">
        <v>93</v>
      </c>
      <c r="B26" s="5" t="s">
        <v>104</v>
      </c>
      <c r="C26" s="4" t="s">
        <v>95</v>
      </c>
      <c r="D26" s="4" t="s">
        <v>15</v>
      </c>
      <c r="E26" s="4" t="s">
        <v>15</v>
      </c>
      <c r="F26" s="8" t="s">
        <v>96</v>
      </c>
      <c r="G26" s="4" t="s">
        <v>105</v>
      </c>
      <c r="H26" s="4" t="s">
        <v>98</v>
      </c>
      <c r="I26" s="5" t="s">
        <v>106</v>
      </c>
    </row>
    <row r="27" customFormat="false" ht="26.85" hidden="false" customHeight="false" outlineLevel="0" collapsed="false">
      <c r="A27" s="4" t="s">
        <v>93</v>
      </c>
      <c r="B27" s="5" t="s">
        <v>107</v>
      </c>
      <c r="C27" s="4" t="s">
        <v>95</v>
      </c>
      <c r="D27" s="4" t="s">
        <v>15</v>
      </c>
      <c r="E27" s="4" t="s">
        <v>15</v>
      </c>
      <c r="F27" s="8" t="s">
        <v>96</v>
      </c>
      <c r="G27" s="5" t="s">
        <v>108</v>
      </c>
      <c r="H27" s="4" t="s">
        <v>109</v>
      </c>
      <c r="I27" s="4"/>
    </row>
    <row r="28" customFormat="false" ht="26.85" hidden="false" customHeight="false" outlineLevel="0" collapsed="false">
      <c r="A28" s="4" t="s">
        <v>93</v>
      </c>
      <c r="B28" s="5" t="s">
        <v>110</v>
      </c>
      <c r="C28" s="4" t="s">
        <v>95</v>
      </c>
      <c r="D28" s="4" t="s">
        <v>15</v>
      </c>
      <c r="E28" s="4" t="s">
        <v>15</v>
      </c>
      <c r="F28" s="8" t="s">
        <v>96</v>
      </c>
      <c r="G28" s="5" t="s">
        <v>108</v>
      </c>
      <c r="H28" s="4" t="s">
        <v>111</v>
      </c>
      <c r="I28" s="5" t="s">
        <v>112</v>
      </c>
    </row>
    <row r="29" customFormat="false" ht="26.85" hidden="false" customHeight="false" outlineLevel="0" collapsed="false">
      <c r="A29" s="4" t="s">
        <v>93</v>
      </c>
      <c r="B29" s="4" t="s">
        <v>113</v>
      </c>
      <c r="C29" s="4" t="s">
        <v>95</v>
      </c>
      <c r="D29" s="4" t="s">
        <v>15</v>
      </c>
      <c r="E29" s="4" t="s">
        <v>15</v>
      </c>
      <c r="F29" s="8" t="s">
        <v>96</v>
      </c>
      <c r="G29" s="5" t="s">
        <v>108</v>
      </c>
      <c r="H29" s="4" t="s">
        <v>114</v>
      </c>
      <c r="I29" s="5" t="s">
        <v>115</v>
      </c>
    </row>
    <row r="30" customFormat="false" ht="26.85" hidden="false" customHeight="false" outlineLevel="0" collapsed="false">
      <c r="A30" s="4" t="s">
        <v>93</v>
      </c>
      <c r="B30" s="5" t="s">
        <v>116</v>
      </c>
      <c r="C30" s="4" t="s">
        <v>95</v>
      </c>
      <c r="D30" s="4" t="s">
        <v>15</v>
      </c>
      <c r="E30" s="4" t="s">
        <v>15</v>
      </c>
      <c r="F30" s="8" t="s">
        <v>96</v>
      </c>
      <c r="G30" s="5" t="s">
        <v>117</v>
      </c>
      <c r="H30" s="4" t="s">
        <v>118</v>
      </c>
      <c r="I30" s="4" t="s">
        <v>119</v>
      </c>
    </row>
    <row r="31" customFormat="false" ht="26.85" hidden="false" customHeight="false" outlineLevel="0" collapsed="false">
      <c r="A31" s="4" t="s">
        <v>93</v>
      </c>
      <c r="B31" s="5" t="s">
        <v>120</v>
      </c>
      <c r="C31" s="4" t="s">
        <v>95</v>
      </c>
      <c r="D31" s="4" t="s">
        <v>15</v>
      </c>
      <c r="E31" s="4" t="s">
        <v>15</v>
      </c>
      <c r="F31" s="8" t="s">
        <v>96</v>
      </c>
      <c r="G31" s="5" t="s">
        <v>117</v>
      </c>
      <c r="H31" s="4" t="s">
        <v>121</v>
      </c>
      <c r="I31" s="5" t="s">
        <v>122</v>
      </c>
    </row>
    <row r="32" customFormat="false" ht="26.85" hidden="false" customHeight="false" outlineLevel="0" collapsed="false">
      <c r="A32" s="4" t="s">
        <v>93</v>
      </c>
      <c r="B32" s="5" t="s">
        <v>123</v>
      </c>
      <c r="C32" s="4" t="s">
        <v>95</v>
      </c>
      <c r="D32" s="4" t="s">
        <v>15</v>
      </c>
      <c r="E32" s="4" t="s">
        <v>15</v>
      </c>
      <c r="F32" s="8" t="s">
        <v>96</v>
      </c>
      <c r="G32" s="5" t="s">
        <v>117</v>
      </c>
      <c r="H32" s="4" t="s">
        <v>124</v>
      </c>
      <c r="I32" s="4"/>
    </row>
    <row r="33" customFormat="false" ht="26.85" hidden="false" customHeight="false" outlineLevel="0" collapsed="false">
      <c r="A33" s="4" t="s">
        <v>93</v>
      </c>
      <c r="B33" s="5" t="s">
        <v>125</v>
      </c>
      <c r="C33" s="4" t="s">
        <v>95</v>
      </c>
      <c r="D33" s="4" t="s">
        <v>15</v>
      </c>
      <c r="E33" s="4" t="s">
        <v>15</v>
      </c>
      <c r="F33" s="8" t="s">
        <v>96</v>
      </c>
      <c r="G33" s="5" t="s">
        <v>126</v>
      </c>
      <c r="H33" s="4" t="s">
        <v>127</v>
      </c>
      <c r="I33" s="4"/>
    </row>
    <row r="34" customFormat="false" ht="26.85" hidden="false" customHeight="false" outlineLevel="0" collapsed="false">
      <c r="A34" s="4" t="s">
        <v>93</v>
      </c>
      <c r="B34" s="5" t="s">
        <v>128</v>
      </c>
      <c r="C34" s="4" t="s">
        <v>95</v>
      </c>
      <c r="D34" s="4" t="s">
        <v>15</v>
      </c>
      <c r="E34" s="4" t="s">
        <v>15</v>
      </c>
      <c r="F34" s="8" t="s">
        <v>96</v>
      </c>
      <c r="G34" s="5" t="s">
        <v>126</v>
      </c>
      <c r="H34" s="4" t="s">
        <v>127</v>
      </c>
      <c r="I34" s="4"/>
    </row>
    <row r="35" customFormat="false" ht="26.85" hidden="false" customHeight="false" outlineLevel="0" collapsed="false">
      <c r="A35" s="4" t="s">
        <v>93</v>
      </c>
      <c r="B35" s="5" t="s">
        <v>129</v>
      </c>
      <c r="C35" s="4" t="s">
        <v>95</v>
      </c>
      <c r="D35" s="4" t="s">
        <v>15</v>
      </c>
      <c r="E35" s="4" t="s">
        <v>15</v>
      </c>
      <c r="F35" s="8" t="s">
        <v>96</v>
      </c>
      <c r="G35" s="5" t="s">
        <v>130</v>
      </c>
      <c r="H35" s="4" t="s">
        <v>131</v>
      </c>
      <c r="I35" s="5" t="s">
        <v>132</v>
      </c>
    </row>
    <row r="36" customFormat="false" ht="26.85" hidden="false" customHeight="false" outlineLevel="0" collapsed="false">
      <c r="A36" s="4" t="s">
        <v>93</v>
      </c>
      <c r="B36" s="5" t="s">
        <v>133</v>
      </c>
      <c r="C36" s="4" t="s">
        <v>95</v>
      </c>
      <c r="D36" s="4" t="s">
        <v>15</v>
      </c>
      <c r="E36" s="4" t="s">
        <v>15</v>
      </c>
      <c r="F36" s="8" t="s">
        <v>96</v>
      </c>
      <c r="G36" s="5" t="s">
        <v>134</v>
      </c>
      <c r="H36" s="4" t="s">
        <v>131</v>
      </c>
      <c r="I36" s="4"/>
    </row>
    <row r="37" customFormat="false" ht="26.85" hidden="false" customHeight="false" outlineLevel="0" collapsed="false">
      <c r="A37" s="4" t="s">
        <v>93</v>
      </c>
      <c r="B37" s="5" t="s">
        <v>135</v>
      </c>
      <c r="C37" s="4" t="s">
        <v>95</v>
      </c>
      <c r="D37" s="4" t="s">
        <v>15</v>
      </c>
      <c r="E37" s="4" t="s">
        <v>15</v>
      </c>
      <c r="F37" s="8" t="s">
        <v>96</v>
      </c>
      <c r="G37" s="5" t="s">
        <v>136</v>
      </c>
      <c r="H37" s="4" t="s">
        <v>58</v>
      </c>
      <c r="I37" s="5" t="s">
        <v>137</v>
      </c>
    </row>
    <row r="38" customFormat="false" ht="26.85" hidden="false" customHeight="false" outlineLevel="0" collapsed="false">
      <c r="A38" s="4" t="s">
        <v>138</v>
      </c>
      <c r="B38" s="5" t="s">
        <v>139</v>
      </c>
      <c r="C38" s="4" t="s">
        <v>95</v>
      </c>
      <c r="D38" s="4" t="s">
        <v>15</v>
      </c>
      <c r="E38" s="4" t="s">
        <v>15</v>
      </c>
      <c r="F38" s="9" t="s">
        <v>140</v>
      </c>
      <c r="G38" s="5" t="s">
        <v>141</v>
      </c>
      <c r="H38" s="4" t="s">
        <v>127</v>
      </c>
      <c r="I38" s="5" t="s">
        <v>142</v>
      </c>
    </row>
    <row r="39" customFormat="false" ht="26.85" hidden="false" customHeight="false" outlineLevel="0" collapsed="false">
      <c r="A39" s="4" t="s">
        <v>138</v>
      </c>
      <c r="B39" s="5" t="s">
        <v>143</v>
      </c>
      <c r="C39" s="4" t="s">
        <v>95</v>
      </c>
      <c r="D39" s="4" t="s">
        <v>15</v>
      </c>
      <c r="E39" s="4" t="s">
        <v>15</v>
      </c>
      <c r="F39" s="9" t="s">
        <v>140</v>
      </c>
      <c r="G39" s="5" t="s">
        <v>144</v>
      </c>
      <c r="H39" s="4" t="s">
        <v>145</v>
      </c>
      <c r="I39" s="5" t="s">
        <v>146</v>
      </c>
    </row>
    <row r="40" customFormat="false" ht="26.85" hidden="false" customHeight="false" outlineLevel="0" collapsed="false">
      <c r="A40" s="4" t="s">
        <v>138</v>
      </c>
      <c r="B40" s="5" t="s">
        <v>147</v>
      </c>
      <c r="C40" s="4" t="s">
        <v>95</v>
      </c>
      <c r="D40" s="4" t="s">
        <v>15</v>
      </c>
      <c r="E40" s="4" t="s">
        <v>15</v>
      </c>
      <c r="F40" s="9" t="s">
        <v>140</v>
      </c>
      <c r="G40" s="5" t="s">
        <v>148</v>
      </c>
      <c r="H40" s="4" t="s">
        <v>149</v>
      </c>
      <c r="I40" s="5" t="s">
        <v>150</v>
      </c>
    </row>
    <row r="41" customFormat="false" ht="26.85" hidden="false" customHeight="false" outlineLevel="0" collapsed="false">
      <c r="A41" s="4" t="s">
        <v>138</v>
      </c>
      <c r="B41" s="5" t="s">
        <v>151</v>
      </c>
      <c r="C41" s="4" t="s">
        <v>95</v>
      </c>
      <c r="D41" s="4" t="s">
        <v>15</v>
      </c>
      <c r="E41" s="4" t="s">
        <v>15</v>
      </c>
      <c r="F41" s="9" t="s">
        <v>140</v>
      </c>
      <c r="G41" s="5" t="s">
        <v>152</v>
      </c>
      <c r="H41" s="4" t="s">
        <v>153</v>
      </c>
      <c r="I41" s="4"/>
    </row>
    <row r="42" customFormat="false" ht="26.85" hidden="false" customHeight="false" outlineLevel="0" collapsed="false">
      <c r="A42" s="4" t="s">
        <v>138</v>
      </c>
      <c r="B42" s="5" t="s">
        <v>154</v>
      </c>
      <c r="C42" s="4" t="s">
        <v>95</v>
      </c>
      <c r="D42" s="4" t="s">
        <v>15</v>
      </c>
      <c r="E42" s="4" t="s">
        <v>15</v>
      </c>
      <c r="F42" s="9" t="s">
        <v>140</v>
      </c>
      <c r="G42" s="5" t="s">
        <v>155</v>
      </c>
      <c r="H42" s="4" t="s">
        <v>58</v>
      </c>
      <c r="I42" s="5" t="s">
        <v>156</v>
      </c>
    </row>
    <row r="43" customFormat="false" ht="26.85" hidden="false" customHeight="false" outlineLevel="0" collapsed="false">
      <c r="A43" s="4" t="s">
        <v>138</v>
      </c>
      <c r="B43" s="5" t="s">
        <v>157</v>
      </c>
      <c r="C43" s="4" t="s">
        <v>95</v>
      </c>
      <c r="D43" s="4" t="s">
        <v>15</v>
      </c>
      <c r="E43" s="4" t="s">
        <v>15</v>
      </c>
      <c r="F43" s="9" t="s">
        <v>140</v>
      </c>
      <c r="G43" s="4" t="s">
        <v>158</v>
      </c>
      <c r="H43" s="4" t="s">
        <v>159</v>
      </c>
      <c r="I43" s="5" t="s">
        <v>160</v>
      </c>
    </row>
    <row r="44" customFormat="false" ht="26.85" hidden="false" customHeight="false" outlineLevel="0" collapsed="false">
      <c r="A44" s="4" t="s">
        <v>138</v>
      </c>
      <c r="B44" s="5" t="s">
        <v>161</v>
      </c>
      <c r="C44" s="4" t="s">
        <v>95</v>
      </c>
      <c r="D44" s="4" t="s">
        <v>15</v>
      </c>
      <c r="E44" s="4" t="s">
        <v>15</v>
      </c>
      <c r="F44" s="9" t="s">
        <v>140</v>
      </c>
      <c r="G44" s="5" t="s">
        <v>162</v>
      </c>
      <c r="H44" s="4" t="s">
        <v>163</v>
      </c>
      <c r="I44" s="5" t="s">
        <v>164</v>
      </c>
    </row>
    <row r="45" customFormat="false" ht="26.85" hidden="false" customHeight="false" outlineLevel="0" collapsed="false">
      <c r="A45" s="4" t="s">
        <v>138</v>
      </c>
      <c r="B45" s="4" t="s">
        <v>165</v>
      </c>
      <c r="C45" s="4" t="s">
        <v>95</v>
      </c>
      <c r="D45" s="4" t="s">
        <v>15</v>
      </c>
      <c r="E45" s="4" t="s">
        <v>15</v>
      </c>
      <c r="F45" s="9" t="s">
        <v>140</v>
      </c>
      <c r="G45" s="5" t="s">
        <v>166</v>
      </c>
      <c r="H45" s="4" t="s">
        <v>167</v>
      </c>
      <c r="I45" s="4"/>
    </row>
    <row r="46" customFormat="false" ht="15" hidden="false" customHeight="false" outlineLevel="0" collapsed="false">
      <c r="A46" s="4" t="s">
        <v>168</v>
      </c>
      <c r="B46" s="5" t="s">
        <v>169</v>
      </c>
      <c r="C46" s="4" t="s">
        <v>95</v>
      </c>
      <c r="D46" s="4" t="s">
        <v>15</v>
      </c>
      <c r="E46" s="4" t="s">
        <v>15</v>
      </c>
      <c r="F46" s="7" t="s">
        <v>51</v>
      </c>
      <c r="G46" s="5" t="s">
        <v>52</v>
      </c>
      <c r="H46" s="4" t="s">
        <v>170</v>
      </c>
      <c r="I46" s="5" t="s">
        <v>171</v>
      </c>
    </row>
    <row r="47" customFormat="false" ht="15" hidden="false" customHeight="false" outlineLevel="0" collapsed="false">
      <c r="A47" s="4" t="s">
        <v>168</v>
      </c>
      <c r="B47" s="5" t="s">
        <v>172</v>
      </c>
      <c r="C47" s="4" t="s">
        <v>95</v>
      </c>
      <c r="D47" s="4" t="s">
        <v>15</v>
      </c>
      <c r="E47" s="4" t="s">
        <v>15</v>
      </c>
      <c r="F47" s="7" t="s">
        <v>51</v>
      </c>
      <c r="G47" s="5" t="s">
        <v>52</v>
      </c>
      <c r="H47" s="4" t="s">
        <v>173</v>
      </c>
      <c r="I47" s="5" t="s">
        <v>171</v>
      </c>
    </row>
    <row r="48" customFormat="false" ht="15" hidden="false" customHeight="false" outlineLevel="0" collapsed="false">
      <c r="A48" s="4" t="s">
        <v>168</v>
      </c>
      <c r="B48" s="5" t="s">
        <v>174</v>
      </c>
      <c r="C48" s="4" t="s">
        <v>95</v>
      </c>
      <c r="D48" s="4" t="s">
        <v>15</v>
      </c>
      <c r="E48" s="4" t="s">
        <v>15</v>
      </c>
      <c r="F48" s="7" t="s">
        <v>51</v>
      </c>
      <c r="G48" s="5" t="s">
        <v>52</v>
      </c>
      <c r="H48" s="4" t="s">
        <v>98</v>
      </c>
      <c r="I48" s="5" t="s">
        <v>175</v>
      </c>
    </row>
    <row r="49" customFormat="false" ht="15" hidden="false" customHeight="false" outlineLevel="0" collapsed="false">
      <c r="A49" s="4" t="s">
        <v>168</v>
      </c>
      <c r="B49" s="5" t="s">
        <v>176</v>
      </c>
      <c r="C49" s="4" t="s">
        <v>95</v>
      </c>
      <c r="D49" s="4" t="s">
        <v>15</v>
      </c>
      <c r="E49" s="4" t="s">
        <v>15</v>
      </c>
      <c r="F49" s="7" t="s">
        <v>51</v>
      </c>
      <c r="G49" s="5" t="s">
        <v>177</v>
      </c>
      <c r="H49" s="4" t="s">
        <v>178</v>
      </c>
      <c r="I49" s="4"/>
    </row>
    <row r="50" customFormat="false" ht="15" hidden="false" customHeight="false" outlineLevel="0" collapsed="false">
      <c r="A50" s="4" t="s">
        <v>168</v>
      </c>
      <c r="B50" s="5" t="s">
        <v>179</v>
      </c>
      <c r="C50" s="4" t="s">
        <v>95</v>
      </c>
      <c r="D50" s="5" t="s">
        <v>180</v>
      </c>
      <c r="E50" s="5" t="s">
        <v>180</v>
      </c>
      <c r="F50" s="7" t="s">
        <v>51</v>
      </c>
      <c r="G50" s="5" t="s">
        <v>52</v>
      </c>
      <c r="H50" s="4" t="s">
        <v>181</v>
      </c>
      <c r="I50" s="5" t="s">
        <v>182</v>
      </c>
    </row>
  </sheetData>
  <autoFilter ref="A5:I50"/>
  <mergeCells count="2"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0" t="s">
        <v>183</v>
      </c>
      <c r="B1" s="10" t="s">
        <v>184</v>
      </c>
    </row>
    <row r="2" customFormat="false" ht="15" hidden="false" customHeight="false" outlineLevel="0" collapsed="false">
      <c r="A2" s="11" t="s">
        <v>17</v>
      </c>
      <c r="B2" s="11" t="n">
        <f aca="false">COUNTIF(機能一覧!$F$6:$F$50,"◎*")</f>
        <v>13</v>
      </c>
    </row>
    <row r="3" customFormat="false" ht="15" hidden="false" customHeight="false" outlineLevel="0" collapsed="false">
      <c r="A3" s="11" t="s">
        <v>185</v>
      </c>
      <c r="B3" s="11" t="n">
        <f aca="false">COUNTIF(機能一覧!$F$6:$F$50,"○*")</f>
        <v>14</v>
      </c>
    </row>
    <row r="4" customFormat="false" ht="15" hidden="false" customHeight="false" outlineLevel="0" collapsed="false">
      <c r="A4" s="11" t="s">
        <v>186</v>
      </c>
      <c r="B4" s="11" t="n">
        <f aca="false">COUNTIF(機能一覧!$F$6:$F$50,"△*")</f>
        <v>8</v>
      </c>
    </row>
    <row r="5" customFormat="false" ht="15" hidden="false" customHeight="false" outlineLevel="0" collapsed="false">
      <c r="A5" s="12" t="s">
        <v>51</v>
      </c>
      <c r="B5" s="12" t="n">
        <f aca="false">COUNTIF(機能一覧!$F$6:$F$50,"×*")</f>
        <v>10</v>
      </c>
    </row>
    <row r="6" customFormat="false" ht="15" hidden="false" customHeight="false" outlineLevel="0" collapsed="false">
      <c r="A6" s="13" t="s">
        <v>187</v>
      </c>
      <c r="B6" s="13" t="n">
        <f aca="false">SUM(B2:B5)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2026-10-13T10:27:22Z</dcterms:created>
  <dc:creator>openpyxl</dc:creator>
  <dc:description/>
  <dc:language>en-US</dc:language>
  <cp:lastModifiedBy/>
  <dcterms:modified xsi:type="dcterms:W3CDTF">2026-10-13T10:27:22Z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