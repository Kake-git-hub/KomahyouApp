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文言一覧" sheetId="2" state="visible" r:id="rId2"/>
    <sheet name="気づき" sheetId="3" state="visible" r:id="rId3"/>
    <sheet name="開発者画面(参考)" sheetId="4" state="visible" r:id="rId4"/>
  </sheets>
  <definedNames>
    <definedName name="_xlnm._FilterDatabase" localSheetId="1" hidden="1">'文言一覧'!$A$1:$L$524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b val="1"/>
      <sz val="14"/>
    </font>
    <font>
      <name val="Meiryo"/>
      <sz val="10"/>
    </font>
    <font>
      <name val="Meiryo"/>
      <b val="1"/>
      <sz val="10"/>
    </font>
    <font>
      <name val="Meiryo"/>
      <b val="1"/>
      <color rgb="00FFFFFF"/>
      <sz val="10"/>
    </font>
  </fonts>
  <fills count="8">
    <fill>
      <patternFill/>
    </fill>
    <fill>
      <patternFill patternType="gray125"/>
    </fill>
    <fill>
      <patternFill patternType="solid">
        <fgColor rgb="00DDEBF7"/>
      </patternFill>
    </fill>
    <fill>
      <patternFill patternType="solid">
        <fgColor rgb="001F3864"/>
      </patternFill>
    </fill>
    <fill>
      <patternFill patternType="solid">
        <fgColor rgb="00FFF2CC"/>
      </patternFill>
    </fill>
    <fill>
      <patternFill patternType="solid">
        <fgColor rgb="00BF8F00"/>
      </patternFill>
    </fill>
    <fill>
      <patternFill patternType="solid">
        <fgColor rgb="00F2F2F2"/>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vertical="center"/>
    </xf>
    <xf numFmtId="0" fontId="4" fillId="3" borderId="1" applyAlignment="1" pivotButton="0" quotePrefix="0" xfId="0">
      <alignment horizontal="center"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0" borderId="0" pivotButton="0" quotePrefix="0" xfId="0"/>
    <xf numFmtId="3" fontId="2" fillId="0" borderId="0" pivotButton="0" quotePrefix="0" xfId="0"/>
    <xf numFmtId="0" fontId="3" fillId="0" borderId="0" pivotButton="0" quotePrefix="0" xfId="0"/>
    <xf numFmtId="3" fontId="3" fillId="0" borderId="0" pivotButton="0" quotePrefix="0" xfId="0"/>
    <xf numFmtId="0" fontId="4"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4" borderId="1" applyAlignment="1" pivotButton="0" quotePrefix="0" xfId="0">
      <alignment horizontal="center" vertical="top" wrapText="1"/>
    </xf>
    <xf numFmtId="0" fontId="2" fillId="7" borderId="1" applyAlignment="1" pivotButton="0" quotePrefix="0" xfId="0">
      <alignment vertical="top" wrapText="1"/>
    </xf>
    <xf numFmtId="0" fontId="2" fillId="0" borderId="1"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62" customWidth="1" min="1" max="1"/>
    <col width="26" customWidth="1" min="2" max="2"/>
    <col width="26" customWidth="1" min="3" max="3"/>
    <col width="26" customWidth="1" min="4" max="4"/>
    <col width="34" customWidth="1" min="5" max="5"/>
  </cols>
  <sheetData>
    <row r="1">
      <c r="A1" s="1" t="inlineStr">
        <is>
          <t>アプリ内 文言一覧（室長・保護者が見る文章）</t>
        </is>
      </c>
    </row>
    <row r="2">
      <c r="A2" s="2" t="inlineStr">
        <is>
          <t>作成 2026-09-19 ／ 対象コード = main v1.5.552 ／ 出典 docs/ui-text-review-2026-09-18.md</t>
        </is>
      </c>
    </row>
    <row r="3">
      <c r="A3" s="2" t="inlineStr"/>
    </row>
    <row r="4">
      <c r="A4" s="3" t="inlineStr">
        <is>
          <t>書き込むのは黄色の3列だけです</t>
        </is>
      </c>
    </row>
    <row r="5">
      <c r="A5" s="2" t="inlineStr">
        <is>
          <t>「文言一覧」シートの J列「修正後の文言【記入】」・K列「対応【記入】」・L列「メモ【記入】」に書き込んでください。</t>
        </is>
      </c>
    </row>
    <row r="6">
      <c r="A6" s="2" t="inlineStr">
        <is>
          <t>A〜I列（現在の文言・出る場所・ファイル・行）は調査結果です。編集しても構いませんが、修正作業の照合に使うのでそのまま残すのを推奨します。</t>
        </is>
      </c>
    </row>
    <row r="7">
      <c r="A7" s="2" t="inlineStr">
        <is>
          <t>K列はプルダウン（修正する／このままでよい／保留・要相談／削除する）から選べます。</t>
        </is>
      </c>
    </row>
    <row r="8">
      <c r="A8" s="2" t="inlineStr"/>
    </row>
    <row r="9">
      <c r="A9" s="3" t="inlineStr">
        <is>
          <t>記入例</t>
        </is>
      </c>
    </row>
    <row r="10">
      <c r="A10" s="4" t="inlineStr">
        <is>
          <t>現在の文言</t>
        </is>
      </c>
      <c r="B10" s="4" t="inlineStr">
        <is>
          <t>出る場所・きっかけ</t>
        </is>
      </c>
      <c r="C10" s="4" t="inlineStr">
        <is>
          <t>修正後の文言【記入】</t>
        </is>
      </c>
      <c r="D10" s="4" t="inlineStr">
        <is>
          <t>対応【記入】</t>
        </is>
      </c>
      <c r="E10" s="4" t="inlineStr">
        <is>
          <t>メモ【記入】</t>
        </is>
      </c>
    </row>
    <row r="11">
      <c r="A11" s="5" t="inlineStr">
        <is>
          <t>デバッグコピー</t>
        </is>
      </c>
      <c r="B11" s="5" t="inlineStr">
        <is>
          <t>コマ詳細パネルの下部</t>
        </is>
      </c>
      <c r="C11" s="6" t="inlineStr">
        <is>
          <t>この画面の内容をコピー</t>
        </is>
      </c>
      <c r="D11" s="6" t="inlineStr">
        <is>
          <t>修正する</t>
        </is>
      </c>
      <c r="E11" s="6" t="inlineStr">
        <is>
          <t>「デバッグ」は室長には意味が通じないので言い換え</t>
        </is>
      </c>
    </row>
    <row r="12">
      <c r="A12" s="2" t="inlineStr"/>
    </row>
    <row r="13">
      <c r="A13" s="3" t="inlineStr">
        <is>
          <t>列の意味</t>
        </is>
      </c>
    </row>
    <row r="14">
      <c r="A14" s="2" t="inlineStr">
        <is>
          <t>B 区分 … 保護者＝保護者が見る画面 ／ 室長＝室長が見る画面</t>
        </is>
      </c>
    </row>
    <row r="15">
      <c r="A15" s="2" t="inlineStr">
        <is>
          <t>C 画面 … どの画面か（A-1 〜 B-10 は元資料の節番号）</t>
        </is>
      </c>
    </row>
    <row r="16">
      <c r="A16" s="2" t="inlineStr">
        <is>
          <t>D 表示条件 … 全教室＝本番3教室でも出る ／ 検証用教室・staging のみ＝本番ではまだ出ない ／ 開発者専用</t>
        </is>
      </c>
    </row>
    <row r="17">
      <c r="A17" s="2" t="inlineStr">
        <is>
          <t>E 現在の文言 … いまアプリに出ている文章。◯◯ は生徒名・日付などが入る箇所</t>
        </is>
      </c>
    </row>
    <row r="18">
      <c r="A18" s="2" t="inlineStr">
        <is>
          <t>F 出る場所・きっかけ … 画面のどこに、どの操作で出るか</t>
        </is>
      </c>
    </row>
    <row r="19">
      <c r="A19" s="2" t="inlineStr">
        <is>
          <t>G/H ファイル・行 … 直す場所（行番号は 2026-09-19 時点）</t>
        </is>
      </c>
    </row>
    <row r="20">
      <c r="A20" s="2" t="inlineStr">
        <is>
          <t>I 気になる点 … 開発用語の混入・表記ゆれなど、こちらが気づいた点。1セルに複数の文言がまとまっていた場合、同じ指摘が各行に付いていることがあります</t>
        </is>
      </c>
    </row>
    <row r="21">
      <c r="A21" s="2" t="inlineStr"/>
    </row>
    <row r="22">
      <c r="A22" s="3" t="inlineStr">
        <is>
          <t>ほかのシート</t>
        </is>
      </c>
    </row>
    <row r="23">
      <c r="A23" s="2" t="inlineStr">
        <is>
          <t>気づき … 表記ゆれ（「よろしいですか。」「？」「?」の混在など）と、言い回しが気になる箇所のまとめ</t>
        </is>
      </c>
    </row>
    <row r="24">
      <c r="A24" s="2" t="inlineStr">
        <is>
          <t>開発者画面(参考) … 室長・保護者には出ない画面。文言が混在している場所の所在だけ</t>
        </is>
      </c>
    </row>
    <row r="25">
      <c r="A25" s="2" t="inlineStr"/>
    </row>
    <row r="26">
      <c r="A26" s="3" t="inlineStr">
        <is>
          <t>進捗（自動集計）</t>
        </is>
      </c>
    </row>
    <row r="27">
      <c r="A27" s="7" t="inlineStr">
        <is>
          <t>修正する</t>
        </is>
      </c>
      <c r="B27" s="8">
        <f>COUNTIF('文言一覧'!$K$2:$K$100000,"修正する")</f>
        <v/>
      </c>
    </row>
    <row r="28">
      <c r="A28" s="7" t="inlineStr">
        <is>
          <t>このままでよい</t>
        </is>
      </c>
      <c r="B28" s="8">
        <f>COUNTIF('文言一覧'!$K$2:$K$100000,"このままでよい")</f>
        <v/>
      </c>
    </row>
    <row r="29">
      <c r="A29" s="7" t="inlineStr">
        <is>
          <t>保留・要相談</t>
        </is>
      </c>
      <c r="B29" s="8">
        <f>COUNTIF('文言一覧'!$K$2:$K$100000,"保留・要相談")</f>
        <v/>
      </c>
    </row>
    <row r="30">
      <c r="A30" s="7" t="inlineStr">
        <is>
          <t>削除する</t>
        </is>
      </c>
      <c r="B30" s="8">
        <f>COUNTIF('文言一覧'!$K$2:$K$100000,"削除する")</f>
        <v/>
      </c>
    </row>
    <row r="31">
      <c r="A31" s="7" t="inlineStr">
        <is>
          <t>未記入</t>
        </is>
      </c>
      <c r="B31" s="8">
        <f>COUNTA('文言一覧'!$E$2:$E$100000)-COUNTA('文言一覧'!$K$2:$K$100000)</f>
        <v/>
      </c>
    </row>
    <row r="32">
      <c r="A32" s="9" t="inlineStr">
        <is>
          <t>合計（行数）</t>
        </is>
      </c>
      <c r="B32" s="10">
        <f>COUNTA('文言一覧'!$E$2:$E$100000)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4"/>
  <sheetViews>
    <sheetView zoomScale="10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17" customWidth="1" min="4" max="4"/>
    <col width="52" customWidth="1" min="5" max="5"/>
    <col width="30" customWidth="1" min="6" max="6"/>
    <col width="30" customWidth="1" min="7" max="7"/>
    <col width="12" customWidth="1" min="8" max="8"/>
    <col width="26" customWidth="1" min="9" max="9"/>
    <col width="52" customWidth="1" min="10" max="10"/>
    <col width="14" customWidth="1" min="11" max="11"/>
    <col width="26" customWidth="1" min="12" max="12"/>
  </cols>
  <sheetData>
    <row r="1">
      <c r="A1" s="4" t="inlineStr">
        <is>
          <t>No.</t>
        </is>
      </c>
      <c r="B1" s="4" t="inlineStr">
        <is>
          <t>区分</t>
        </is>
      </c>
      <c r="C1" s="4" t="inlineStr">
        <is>
          <t>画面</t>
        </is>
      </c>
      <c r="D1" s="4" t="inlineStr">
        <is>
          <t>表示条件</t>
        </is>
      </c>
      <c r="E1" s="4" t="inlineStr">
        <is>
          <t>現在の文言</t>
        </is>
      </c>
      <c r="F1" s="4" t="inlineStr">
        <is>
          <t>出る場所・きっかけ</t>
        </is>
      </c>
      <c r="G1" s="4" t="inlineStr">
        <is>
          <t>ファイル</t>
        </is>
      </c>
      <c r="H1" s="4" t="inlineStr">
        <is>
          <t>行</t>
        </is>
      </c>
      <c r="I1" s="4" t="inlineStr">
        <is>
          <t>気になる点(Claude)</t>
        </is>
      </c>
      <c r="J1" s="11" t="inlineStr">
        <is>
          <t>修正後の文言【記入】</t>
        </is>
      </c>
      <c r="K1" s="11" t="inlineStr">
        <is>
          <t>対応【記入】</t>
        </is>
      </c>
      <c r="L1" s="11" t="inlineStr">
        <is>
          <t>メモ【記入】</t>
        </is>
      </c>
    </row>
    <row r="2">
      <c r="A2" s="12" t="n">
        <v>1</v>
      </c>
      <c r="B2" s="12" t="inlineStr">
        <is>
          <t>保護者</t>
        </is>
      </c>
      <c r="C2" s="13" t="inlineStr">
        <is>
          <t>A-1. 保護者ポータル</t>
        </is>
      </c>
      <c r="D2" s="12" t="inlineStr">
        <is>
          <t>検証用教室・staging のみ</t>
        </is>
      </c>
      <c r="E2" s="13" t="inlineStr">
        <is>
          <t>（教室名）</t>
        </is>
      </c>
      <c r="F2" s="13" t="inlineStr">
        <is>
          <t>ページ最上部</t>
        </is>
      </c>
      <c r="G2" s="13" t="inlineStr">
        <is>
          <t>ParentPortalPage.tsx</t>
        </is>
      </c>
      <c r="H2" s="12" t="inlineStr">
        <is>
          <t>212</t>
        </is>
      </c>
      <c r="I2" s="13" t="inlineStr"/>
      <c r="J2" s="6" t="n"/>
      <c r="K2" s="14" t="n"/>
      <c r="L2" s="6" t="n"/>
    </row>
    <row r="3">
      <c r="A3" s="12" t="n">
        <v>2</v>
      </c>
      <c r="B3" s="12" t="inlineStr">
        <is>
          <t>保護者</t>
        </is>
      </c>
      <c r="C3" s="13" t="inlineStr">
        <is>
          <t>A-1. 保護者ポータル</t>
        </is>
      </c>
      <c r="D3" s="12" t="inlineStr">
        <is>
          <t>検証用教室・staging のみ</t>
        </is>
      </c>
      <c r="E3" s="13" t="inlineStr">
        <is>
          <t>◯◯ さんの授業予定</t>
        </is>
      </c>
      <c r="F3" s="13" t="inlineStr">
        <is>
          <t>見出し</t>
        </is>
      </c>
      <c r="G3" s="13" t="inlineStr">
        <is>
          <t>ParentPortalPage.tsx</t>
        </is>
      </c>
      <c r="H3" s="12" t="inlineStr">
        <is>
          <t>213</t>
        </is>
      </c>
      <c r="I3" s="13" t="inlineStr"/>
      <c r="J3" s="6" t="n"/>
      <c r="K3" s="14" t="n"/>
      <c r="L3" s="6" t="n"/>
    </row>
    <row r="4">
      <c r="A4" s="12" t="n">
        <v>3</v>
      </c>
      <c r="B4" s="12" t="inlineStr">
        <is>
          <t>保護者</t>
        </is>
      </c>
      <c r="C4" s="13" t="inlineStr">
        <is>
          <t>A-1. 保護者ポータル</t>
        </is>
      </c>
      <c r="D4" s="12" t="inlineStr">
        <is>
          <t>検証用教室・staging のみ</t>
        </is>
      </c>
      <c r="E4" s="13" t="inlineStr">
        <is>
          <t>◯月◯日 ◯:◯◯ 時点</t>
        </is>
      </c>
      <c r="F4" s="13" t="inlineStr">
        <is>
          <t>見出し下の小さい字（保存時刻）</t>
        </is>
      </c>
      <c r="G4" s="13" t="inlineStr">
        <is>
          <t>parentPortalPageModel.ts</t>
        </is>
      </c>
      <c r="H4" s="12" t="inlineStr">
        <is>
          <t>173</t>
        </is>
      </c>
      <c r="I4" s="13" t="inlineStr"/>
      <c r="J4" s="6" t="n"/>
      <c r="K4" s="14" t="n"/>
      <c r="L4" s="6" t="n"/>
    </row>
    <row r="5">
      <c r="A5" s="12" t="n">
        <v>4</v>
      </c>
      <c r="B5" s="12" t="inlineStr">
        <is>
          <t>保護者</t>
        </is>
      </c>
      <c r="C5" s="13" t="inlineStr">
        <is>
          <t>A-1. 保護者ポータル</t>
        </is>
      </c>
      <c r="D5" s="12" t="inlineStr">
        <is>
          <t>検証用教室・staging のみ</t>
        </is>
      </c>
      <c r="E5" s="13" t="inlineStr">
        <is>
          <t>保存時刻は不明です</t>
        </is>
      </c>
      <c r="F5" s="13" t="inlineStr">
        <is>
          <t>同上（保存時刻が読めないとき）</t>
        </is>
      </c>
      <c r="G5" s="13" t="inlineStr">
        <is>
          <t>parentPortalPageModel.ts</t>
        </is>
      </c>
      <c r="H5" s="12" t="inlineStr">
        <is>
          <t>172</t>
        </is>
      </c>
      <c r="I5" s="13" t="inlineStr"/>
      <c r="J5" s="6" t="n"/>
      <c r="K5" s="14" t="n"/>
      <c r="L5" s="6" t="n"/>
    </row>
    <row r="6">
      <c r="A6" s="12" t="n">
        <v>5</v>
      </c>
      <c r="B6" s="12" t="inlineStr">
        <is>
          <t>保護者</t>
        </is>
      </c>
      <c r="C6" s="13" t="inlineStr">
        <is>
          <t>A-1. 保護者ポータル</t>
        </is>
      </c>
      <c r="D6" s="12" t="inlineStr">
        <is>
          <t>検証用教室・staging のみ</t>
        </is>
      </c>
      <c r="E6" s="13" t="inlineStr">
        <is>
          <t>教室で保存された時点の予定です。</t>
        </is>
      </c>
      <c r="F6" s="13" t="inlineStr">
        <is>
          <t>上部の黄色い注記（常時・1行目）</t>
        </is>
      </c>
      <c r="G6" s="13" t="inlineStr">
        <is>
          <t>parentPortalPageModel.ts</t>
        </is>
      </c>
      <c r="H6" s="12" t="inlineStr">
        <is>
          <t>63</t>
        </is>
      </c>
      <c r="I6" s="13" t="inlineStr"/>
      <c r="J6" s="6" t="n"/>
      <c r="K6" s="14" t="n"/>
      <c r="L6" s="6" t="n"/>
    </row>
    <row r="7">
      <c r="A7" s="12" t="n">
        <v>6</v>
      </c>
      <c r="B7" s="12" t="inlineStr">
        <is>
          <t>保護者</t>
        </is>
      </c>
      <c r="C7" s="13" t="inlineStr">
        <is>
          <t>A-1. 保護者ポータル</t>
        </is>
      </c>
      <c r="D7" s="12" t="inlineStr">
        <is>
          <t>検証用教室・staging のみ</t>
        </is>
      </c>
      <c r="E7" s="13" t="inlineStr">
        <is>
          <t>予定は変更になることがあります。</t>
        </is>
      </c>
      <c r="F7" s="13" t="inlineStr">
        <is>
          <t>同（2行目）</t>
        </is>
      </c>
      <c r="G7" s="13" t="inlineStr">
        <is>
          <t>parentPortalPageModel.ts</t>
        </is>
      </c>
      <c r="H7" s="12" t="inlineStr">
        <is>
          <t>64</t>
        </is>
      </c>
      <c r="I7" s="13" t="inlineStr"/>
      <c r="J7" s="6" t="n"/>
      <c r="K7" s="14" t="n"/>
      <c r="L7" s="6" t="n"/>
    </row>
    <row r="8">
      <c r="A8" s="12" t="n">
        <v>7</v>
      </c>
      <c r="B8" s="12" t="inlineStr">
        <is>
          <t>保護者</t>
        </is>
      </c>
      <c r="C8" s="13" t="inlineStr">
        <is>
          <t>A-1. 保護者ポータル</t>
        </is>
      </c>
      <c r="D8" s="12" t="inlineStr">
        <is>
          <t>検証用教室・staging のみ</t>
        </is>
      </c>
      <c r="E8" s="13" t="inlineStr">
        <is>
          <t>お休みのご連絡は、該当する授業の行をタップしてください（お電話でも受け付けます）。</t>
        </is>
      </c>
      <c r="F8" s="13" t="inlineStr">
        <is>
          <t>同（3行目）</t>
        </is>
      </c>
      <c r="G8" s="13" t="inlineStr">
        <is>
          <t>parentPortalPageModel.ts</t>
        </is>
      </c>
      <c r="H8" s="12" t="inlineStr">
        <is>
          <t>65</t>
        </is>
      </c>
      <c r="I8" s="13" t="inlineStr"/>
      <c r="J8" s="6" t="n"/>
      <c r="K8" s="14" t="n"/>
      <c r="L8" s="6" t="n"/>
    </row>
    <row r="9">
      <c r="A9" s="12" t="n">
        <v>8</v>
      </c>
      <c r="B9" s="12" t="inlineStr">
        <is>
          <t>保護者</t>
        </is>
      </c>
      <c r="C9" s="13" t="inlineStr">
        <is>
          <t>A-1. 保護者ポータル</t>
        </is>
      </c>
      <c r="D9" s="12" t="inlineStr">
        <is>
          <t>検証用教室・staging のみ</t>
        </is>
      </c>
      <c r="E9" s="13" t="inlineStr">
        <is>
          <t>授業の行をタップすると、お休みの連絡ができます。</t>
        </is>
      </c>
      <c r="F9" s="13" t="inlineStr">
        <is>
          <t>一覧の上（連絡できる行があるときだけ）</t>
        </is>
      </c>
      <c r="G9" s="13" t="inlineStr">
        <is>
          <t>parentPortalPageModel.ts</t>
        </is>
      </c>
      <c r="H9" s="12" t="inlineStr">
        <is>
          <t>366</t>
        </is>
      </c>
      <c r="I9" s="13" t="inlineStr"/>
      <c r="J9" s="6" t="n"/>
      <c r="K9" s="14" t="n"/>
      <c r="L9" s="6" t="n"/>
    </row>
    <row r="10">
      <c r="A10" s="12" t="n">
        <v>9</v>
      </c>
      <c r="B10" s="12" t="inlineStr">
        <is>
          <t>保護者</t>
        </is>
      </c>
      <c r="C10" s="13" t="inlineStr">
        <is>
          <t>A-1. 保護者ポータル</t>
        </is>
      </c>
      <c r="D10" s="12" t="inlineStr">
        <is>
          <t>検証用教室・staging のみ</t>
        </is>
      </c>
      <c r="E10" s="13" t="inlineStr">
        <is>
          <t>「予定」印の授業は、変更になる可能性があります。</t>
        </is>
      </c>
      <c r="F10" s="13" t="inlineStr">
        <is>
          <t>一覧の上（「予定」印の行があるとき）</t>
        </is>
      </c>
      <c r="G10" s="13" t="inlineStr">
        <is>
          <t>parentPortalPageModel.ts</t>
        </is>
      </c>
      <c r="H10" s="12" t="inlineStr">
        <is>
          <t>79</t>
        </is>
      </c>
      <c r="I10" s="13" t="inlineStr"/>
      <c r="J10" s="6" t="n"/>
      <c r="K10" s="14" t="n"/>
      <c r="L10" s="6" t="n"/>
    </row>
    <row r="11">
      <c r="A11" s="12" t="n">
        <v>10</v>
      </c>
      <c r="B11" s="12" t="inlineStr">
        <is>
          <t>保護者</t>
        </is>
      </c>
      <c r="C11" s="13" t="inlineStr">
        <is>
          <t>A-1. 保護者ポータル</t>
        </is>
      </c>
      <c r="D11" s="12" t="inlineStr">
        <is>
          <t>検証用教室・staging のみ</t>
        </is>
      </c>
      <c r="E11" s="13" t="inlineStr">
        <is>
          <t>予定（変更の可能性あり）</t>
        </is>
      </c>
      <c r="F11" s="13" t="inlineStr">
        <is>
          <t>行の読み上げ用ラベル</t>
        </is>
      </c>
      <c r="G11" s="13" t="inlineStr">
        <is>
          <t>parentPortalPageModel.ts</t>
        </is>
      </c>
      <c r="H11" s="12" t="inlineStr">
        <is>
          <t>77</t>
        </is>
      </c>
      <c r="I11" s="13" t="inlineStr"/>
      <c r="J11" s="6" t="n"/>
      <c r="K11" s="14" t="n"/>
      <c r="L11" s="6" t="n"/>
    </row>
    <row r="12">
      <c r="A12" s="12" t="n">
        <v>11</v>
      </c>
      <c r="B12" s="12" t="inlineStr">
        <is>
          <t>保護者</t>
        </is>
      </c>
      <c r="C12" s="13" t="inlineStr">
        <is>
          <t>A-1. 保護者ポータル</t>
        </is>
      </c>
      <c r="D12" s="12" t="inlineStr">
        <is>
          <t>検証用教室・staging のみ</t>
        </is>
      </c>
      <c r="E12" s="13" t="inlineStr">
        <is>
          <t>この月の授業の予定はありません。</t>
        </is>
      </c>
      <c r="F12" s="13" t="inlineStr">
        <is>
          <t>一覧が空の月</t>
        </is>
      </c>
      <c r="G12" s="13" t="inlineStr">
        <is>
          <t>parentPortalPageModel.ts</t>
        </is>
      </c>
      <c r="H12" s="12" t="inlineStr">
        <is>
          <t>81</t>
        </is>
      </c>
      <c r="I12" s="13" t="inlineStr"/>
      <c r="J12" s="6" t="n"/>
      <c r="K12" s="14" t="n"/>
      <c r="L12" s="6" t="n"/>
    </row>
    <row r="13">
      <c r="A13" s="12" t="n">
        <v>12</v>
      </c>
      <c r="B13" s="12" t="inlineStr">
        <is>
          <t>保護者</t>
        </is>
      </c>
      <c r="C13" s="13" t="inlineStr">
        <is>
          <t>A-1. 保護者ポータル</t>
        </is>
      </c>
      <c r="D13" s="12" t="inlineStr">
        <is>
          <t>検証用教室・staging のみ</t>
        </is>
      </c>
      <c r="E13" s="13" t="inlineStr">
        <is>
          <t>この月は通常授業がありません（講習の日程はこのページには表示されません）。</t>
        </is>
      </c>
      <c r="F13" s="13" t="inlineStr">
        <is>
          <t>講習だけの月</t>
        </is>
      </c>
      <c r="G13" s="13" t="inlineStr">
        <is>
          <t>parentPortalPageModel.ts</t>
        </is>
      </c>
      <c r="H13" s="12" t="inlineStr">
        <is>
          <t>83</t>
        </is>
      </c>
      <c r="I13" s="13" t="inlineStr"/>
      <c r="J13" s="6" t="n"/>
      <c r="K13" s="14" t="n"/>
      <c r="L13" s="6" t="n"/>
    </row>
    <row r="14">
      <c r="A14" s="12" t="n">
        <v>13</v>
      </c>
      <c r="B14" s="12" t="inlineStr">
        <is>
          <t>保護者</t>
        </is>
      </c>
      <c r="C14" s="13" t="inlineStr">
        <is>
          <t>A-1. 保護者ポータル</t>
        </is>
      </c>
      <c r="D14" s="12" t="inlineStr">
        <is>
          <t>検証用教室・staging のみ</t>
        </is>
      </c>
      <c r="E14" s="13" t="inlineStr">
        <is>
          <t>教室休み</t>
        </is>
      </c>
      <c r="F14" s="13" t="inlineStr">
        <is>
          <t>臨時休み・祝日の行</t>
        </is>
      </c>
      <c r="G14" s="13" t="inlineStr">
        <is>
          <t>parentPortalPageModel.ts</t>
        </is>
      </c>
      <c r="H14" s="12" t="inlineStr">
        <is>
          <t>84</t>
        </is>
      </c>
      <c r="I14" s="13" t="inlineStr"/>
      <c r="J14" s="6" t="n"/>
      <c r="K14" s="14" t="n"/>
      <c r="L14" s="6" t="n"/>
    </row>
    <row r="15">
      <c r="A15" s="12" t="n">
        <v>14</v>
      </c>
      <c r="B15" s="12" t="inlineStr">
        <is>
          <t>保護者</t>
        </is>
      </c>
      <c r="C15" s="13" t="inlineStr">
        <is>
          <t>A-1. 保護者ポータル</t>
        </is>
      </c>
      <c r="D15" s="12" t="inlineStr">
        <is>
          <t>検証用教室・staging のみ</t>
        </is>
      </c>
      <c r="E15" s="13" t="inlineStr">
        <is>
          <t>授業の予定はありません</t>
        </is>
      </c>
      <c r="F15" s="13" t="inlineStr">
        <is>
          <t>授業の無い日の行</t>
        </is>
      </c>
      <c r="G15" s="13" t="inlineStr">
        <is>
          <t>parentPortalPageModel.ts</t>
        </is>
      </c>
      <c r="H15" s="12" t="inlineStr">
        <is>
          <t>80</t>
        </is>
      </c>
      <c r="I15" s="13" t="inlineStr"/>
      <c r="J15" s="6" t="n"/>
      <c r="K15" s="14" t="n"/>
      <c r="L15" s="6" t="n"/>
    </row>
    <row r="16">
      <c r="A16" s="12" t="n">
        <v>15</v>
      </c>
      <c r="B16" s="12" t="inlineStr">
        <is>
          <t>保護者</t>
        </is>
      </c>
      <c r="C16" s="13" t="inlineStr">
        <is>
          <t>A-1. 保護者ポータル</t>
        </is>
      </c>
      <c r="D16" s="12" t="inlineStr">
        <is>
          <t>検証用教室・staging のみ</t>
        </is>
      </c>
      <c r="E16" s="13" t="inlineStr">
        <is>
          <t>お休み</t>
        </is>
      </c>
      <c r="F16" s="13" t="inlineStr">
        <is>
          <t>授業行の本文・補足</t>
        </is>
      </c>
      <c r="G16" s="13" t="inlineStr">
        <is>
          <t>parentPortalPageModel.ts</t>
        </is>
      </c>
      <c r="H16" s="12" t="inlineStr">
        <is>
          <t>223–233</t>
        </is>
      </c>
      <c r="I16" s="13" t="inlineStr"/>
      <c r="J16" s="6" t="n"/>
      <c r="K16" s="14" t="n"/>
      <c r="L16" s="6" t="n"/>
    </row>
    <row r="17">
      <c r="A17" s="12" t="n">
        <v>16</v>
      </c>
      <c r="B17" s="12" t="inlineStr">
        <is>
          <t>保護者</t>
        </is>
      </c>
      <c r="C17" s="13" t="inlineStr">
        <is>
          <t>A-1. 保護者ポータル</t>
        </is>
      </c>
      <c r="D17" s="12" t="inlineStr">
        <is>
          <t>検証用教室・staging のみ</t>
        </is>
      </c>
      <c r="E17" s="13" t="inlineStr">
        <is>
          <t>振替なし</t>
        </is>
      </c>
      <c r="F17" s="13" t="inlineStr">
        <is>
          <t>授業行の本文・補足</t>
        </is>
      </c>
      <c r="G17" s="13" t="inlineStr">
        <is>
          <t>parentPortalPageModel.ts</t>
        </is>
      </c>
      <c r="H17" s="12" t="inlineStr">
        <is>
          <t>223–233</t>
        </is>
      </c>
      <c r="I17" s="13" t="inlineStr"/>
      <c r="J17" s="6" t="n"/>
      <c r="K17" s="14" t="n"/>
      <c r="L17" s="6" t="n"/>
    </row>
    <row r="18">
      <c r="A18" s="12" t="n">
        <v>17</v>
      </c>
      <c r="B18" s="12" t="inlineStr">
        <is>
          <t>保護者</t>
        </is>
      </c>
      <c r="C18" s="13" t="inlineStr">
        <is>
          <t>A-1. 保護者ポータル</t>
        </is>
      </c>
      <c r="D18" s="12" t="inlineStr">
        <is>
          <t>検証用教室・staging のみ</t>
        </is>
      </c>
      <c r="E18" s="13" t="inlineStr">
        <is>
          <t>◯分 振替なし</t>
        </is>
      </c>
      <c r="F18" s="13" t="inlineStr">
        <is>
          <t>授業行の本文・補足</t>
        </is>
      </c>
      <c r="G18" s="13" t="inlineStr">
        <is>
          <t>parentPortalPageModel.ts</t>
        </is>
      </c>
      <c r="H18" s="12" t="inlineStr">
        <is>
          <t>223–233</t>
        </is>
      </c>
      <c r="I18" s="13" t="inlineStr"/>
      <c r="J18" s="6" t="n"/>
      <c r="K18" s="14" t="n"/>
      <c r="L18" s="6" t="n"/>
    </row>
    <row r="19">
      <c r="A19" s="12" t="n">
        <v>18</v>
      </c>
      <c r="B19" s="12" t="inlineStr">
        <is>
          <t>保護者</t>
        </is>
      </c>
      <c r="C19" s="13" t="inlineStr">
        <is>
          <t>A-1. 保護者ポータル</t>
        </is>
      </c>
      <c r="D19" s="12" t="inlineStr">
        <is>
          <t>検証用教室・staging のみ</t>
        </is>
      </c>
      <c r="E19" s="13" t="inlineStr">
        <is>
          <t>◯月◯日に振替</t>
        </is>
      </c>
      <c r="F19" s="13" t="inlineStr">
        <is>
          <t>授業行の本文・補足</t>
        </is>
      </c>
      <c r="G19" s="13" t="inlineStr">
        <is>
          <t>parentPortalPageModel.ts</t>
        </is>
      </c>
      <c r="H19" s="12" t="inlineStr">
        <is>
          <t>223–233</t>
        </is>
      </c>
      <c r="I19" s="13" t="inlineStr"/>
      <c r="J19" s="6" t="n"/>
      <c r="K19" s="14" t="n"/>
      <c r="L19" s="6" t="n"/>
    </row>
    <row r="20">
      <c r="A20" s="12" t="n">
        <v>19</v>
      </c>
      <c r="B20" s="12" t="inlineStr">
        <is>
          <t>保護者</t>
        </is>
      </c>
      <c r="C20" s="13" t="inlineStr">
        <is>
          <t>A-1. 保護者ポータル</t>
        </is>
      </c>
      <c r="D20" s="12" t="inlineStr">
        <is>
          <t>検証用教室・staging のみ</t>
        </is>
      </c>
      <c r="E20" s="13" t="inlineStr">
        <is>
          <t>振替日は調整中</t>
        </is>
      </c>
      <c r="F20" s="13" t="inlineStr">
        <is>
          <t>授業行の本文・補足</t>
        </is>
      </c>
      <c r="G20" s="13" t="inlineStr">
        <is>
          <t>parentPortalPageModel.ts</t>
        </is>
      </c>
      <c r="H20" s="12" t="inlineStr">
        <is>
          <t>223–233</t>
        </is>
      </c>
      <c r="I20" s="13" t="inlineStr"/>
      <c r="J20" s="6" t="n"/>
      <c r="K20" s="14" t="n"/>
      <c r="L20" s="6" t="n"/>
    </row>
    <row r="21">
      <c r="A21" s="12" t="n">
        <v>20</v>
      </c>
      <c r="B21" s="12" t="inlineStr">
        <is>
          <t>保護者</t>
        </is>
      </c>
      <c r="C21" s="13" t="inlineStr">
        <is>
          <t>A-1. 保護者ポータル</t>
        </is>
      </c>
      <c r="D21" s="12" t="inlineStr">
        <is>
          <t>検証用教室・staging のみ</t>
        </is>
      </c>
      <c r="E21" s="13" t="inlineStr">
        <is>
          <t>出席（◯月◯日 ◯限の振替）</t>
        </is>
      </c>
      <c r="F21" s="13" t="inlineStr">
        <is>
          <t>出席済みの行</t>
        </is>
      </c>
      <c r="G21" s="13" t="inlineStr">
        <is>
          <t>parentPortalPageModel.ts</t>
        </is>
      </c>
      <c r="H21" s="12" t="inlineStr">
        <is>
          <t>225</t>
        </is>
      </c>
      <c r="I21" s="13" t="inlineStr"/>
      <c r="J21" s="6" t="n"/>
      <c r="K21" s="14" t="n"/>
      <c r="L21" s="6" t="n"/>
    </row>
    <row r="22">
      <c r="A22" s="12" t="n">
        <v>21</v>
      </c>
      <c r="B22" s="12" t="inlineStr">
        <is>
          <t>保護者</t>
        </is>
      </c>
      <c r="C22" s="13" t="inlineStr">
        <is>
          <t>A-1. 保護者ポータル</t>
        </is>
      </c>
      <c r="D22" s="12" t="inlineStr">
        <is>
          <t>検証用教室・staging のみ</t>
        </is>
      </c>
      <c r="E22" s="13" t="inlineStr">
        <is>
          <t>出席済み</t>
        </is>
      </c>
      <c r="F22" s="13" t="inlineStr">
        <is>
          <t>出席済みの行</t>
        </is>
      </c>
      <c r="G22" s="13" t="inlineStr">
        <is>
          <t>parentPortalPageModel.ts</t>
        </is>
      </c>
      <c r="H22" s="12" t="inlineStr">
        <is>
          <t>225</t>
        </is>
      </c>
      <c r="I22" s="13" t="inlineStr"/>
      <c r="J22" s="6" t="n"/>
      <c r="K22" s="14" t="n"/>
      <c r="L22" s="6" t="n"/>
    </row>
    <row r="23">
      <c r="A23" s="12" t="n">
        <v>22</v>
      </c>
      <c r="B23" s="12" t="inlineStr">
        <is>
          <t>保護者</t>
        </is>
      </c>
      <c r="C23" s="13" t="inlineStr">
        <is>
          <t>A-1. 保護者ポータル</t>
        </is>
      </c>
      <c r="D23" s="12" t="inlineStr">
        <is>
          <t>検証用教室・staging のみ</t>
        </is>
      </c>
      <c r="E23" s="13" t="inlineStr">
        <is>
          <t>休み連絡済</t>
        </is>
      </c>
      <c r="F23" s="13" t="inlineStr">
        <is>
          <t>行のバッジ（送信後）</t>
        </is>
      </c>
      <c r="G23" s="13" t="inlineStr">
        <is>
          <t>parentPortalPageModel.ts</t>
        </is>
      </c>
      <c r="H23" s="12" t="inlineStr">
        <is>
          <t>363</t>
        </is>
      </c>
      <c r="I23" s="13" t="inlineStr"/>
      <c r="J23" s="6" t="n"/>
      <c r="K23" s="14" t="n"/>
      <c r="L23" s="6" t="n"/>
    </row>
    <row r="24">
      <c r="A24" s="12" t="n">
        <v>23</v>
      </c>
      <c r="B24" s="12" t="inlineStr">
        <is>
          <t>保護者</t>
        </is>
      </c>
      <c r="C24" s="13" t="inlineStr">
        <is>
          <t>A-1. 保護者ポータル</t>
        </is>
      </c>
      <c r="D24" s="12" t="inlineStr">
        <is>
          <t>検証用教室・staging のみ</t>
        </is>
      </c>
      <c r="E24" s="13" t="inlineStr">
        <is>
          <t>教室確認済</t>
        </is>
      </c>
      <c r="F24" s="13" t="inlineStr">
        <is>
          <t>行のバッジ（教室が処理したあと）</t>
        </is>
      </c>
      <c r="G24" s="13" t="inlineStr">
        <is>
          <t>parentPortalPageModel.ts</t>
        </is>
      </c>
      <c r="H24" s="12" t="inlineStr">
        <is>
          <t>364</t>
        </is>
      </c>
      <c r="I24" s="13" t="inlineStr"/>
      <c r="J24" s="6" t="n"/>
      <c r="K24" s="14" t="n"/>
      <c r="L24" s="6" t="n"/>
    </row>
    <row r="25">
      <c r="A25" s="12" t="n">
        <v>24</v>
      </c>
      <c r="B25" s="12" t="inlineStr">
        <is>
          <t>保護者</t>
        </is>
      </c>
      <c r="C25" s="13" t="inlineStr">
        <is>
          <t>A-1. 保護者ポータル</t>
        </is>
      </c>
      <c r="D25" s="12" t="inlineStr">
        <is>
          <t>検証用教室・staging のみ</t>
        </is>
      </c>
      <c r="E25" s="13" t="inlineStr">
        <is>
          <t>前の月</t>
        </is>
      </c>
      <c r="F25" s="13" t="inlineStr">
        <is>
          <t>月の切り替え</t>
        </is>
      </c>
      <c r="G25" s="13" t="inlineStr">
        <is>
          <t>ParentPortalPage.tsx</t>
        </is>
      </c>
      <c r="H25" s="12" t="inlineStr">
        <is>
          <t>237–242</t>
        </is>
      </c>
      <c r="I25" s="13" t="inlineStr"/>
      <c r="J25" s="6" t="n"/>
      <c r="K25" s="14" t="n"/>
      <c r="L25" s="6" t="n"/>
    </row>
    <row r="26">
      <c r="A26" s="12" t="n">
        <v>25</v>
      </c>
      <c r="B26" s="12" t="inlineStr">
        <is>
          <t>保護者</t>
        </is>
      </c>
      <c r="C26" s="13" t="inlineStr">
        <is>
          <t>A-1. 保護者ポータル</t>
        </is>
      </c>
      <c r="D26" s="12" t="inlineStr">
        <is>
          <t>検証用教室・staging のみ</t>
        </is>
      </c>
      <c r="E26" s="13" t="inlineStr">
        <is>
          <t>次の月</t>
        </is>
      </c>
      <c r="F26" s="13" t="inlineStr">
        <is>
          <t>月の切り替え</t>
        </is>
      </c>
      <c r="G26" s="13" t="inlineStr">
        <is>
          <t>ParentPortalPage.tsx</t>
        </is>
      </c>
      <c r="H26" s="12" t="inlineStr">
        <is>
          <t>237–242</t>
        </is>
      </c>
      <c r="I26" s="13" t="inlineStr"/>
      <c r="J26" s="6" t="n"/>
      <c r="K26" s="14" t="n"/>
      <c r="L26" s="6" t="n"/>
    </row>
    <row r="27">
      <c r="A27" s="12" t="n">
        <v>26</v>
      </c>
      <c r="B27" s="12" t="inlineStr">
        <is>
          <t>保護者</t>
        </is>
      </c>
      <c r="C27" s="13" t="inlineStr">
        <is>
          <t>A-1. 保護者ポータル</t>
        </is>
      </c>
      <c r="D27" s="12" t="inlineStr">
        <is>
          <t>検証用教室・staging のみ</t>
        </is>
      </c>
      <c r="E27" s="13" t="inlineStr">
        <is>
          <t>更新中…</t>
        </is>
      </c>
      <c r="F27" s="13" t="inlineStr">
        <is>
          <t>月の切り替え</t>
        </is>
      </c>
      <c r="G27" s="13" t="inlineStr">
        <is>
          <t>ParentPortalPage.tsx</t>
        </is>
      </c>
      <c r="H27" s="12" t="inlineStr">
        <is>
          <t>237–242</t>
        </is>
      </c>
      <c r="I27" s="13" t="inlineStr"/>
      <c r="J27" s="6" t="n"/>
      <c r="K27" s="14" t="n"/>
      <c r="L27" s="6" t="n"/>
    </row>
    <row r="28">
      <c r="A28" s="12" t="n">
        <v>27</v>
      </c>
      <c r="B28" s="12" t="inlineStr">
        <is>
          <t>保護者</t>
        </is>
      </c>
      <c r="C28" s="13" t="inlineStr">
        <is>
          <t>A-1. 保護者ポータル</t>
        </is>
      </c>
      <c r="D28" s="12" t="inlineStr">
        <is>
          <t>検証用教室・staging のみ</t>
        </is>
      </c>
      <c r="E28" s="13" t="inlineStr">
        <is>
          <t>読み込み中...</t>
        </is>
      </c>
      <c r="F28" s="13" t="inlineStr">
        <is>
          <t>読み込み中</t>
        </is>
      </c>
      <c r="G28" s="13" t="inlineStr">
        <is>
          <t>ParentPortalPage.tsx</t>
        </is>
      </c>
      <c r="H28" s="12" t="inlineStr">
        <is>
          <t>180</t>
        </is>
      </c>
      <c r="I28" s="15" t="inlineStr">
        <is>
          <t>三点リーダが半角</t>
        </is>
      </c>
      <c r="J28" s="6" t="n"/>
      <c r="K28" s="14" t="n"/>
      <c r="L28" s="6" t="n"/>
    </row>
    <row r="29">
      <c r="A29" s="12" t="n">
        <v>28</v>
      </c>
      <c r="B29" s="12" t="inlineStr">
        <is>
          <t>保護者</t>
        </is>
      </c>
      <c r="C29" s="13" t="inlineStr">
        <is>
          <t>A-1. 保護者ポータル</t>
        </is>
      </c>
      <c r="D29" s="12" t="inlineStr">
        <is>
          <t>検証用教室・staging のみ</t>
        </is>
      </c>
      <c r="E29" s="13" t="inlineStr">
        <is>
          <t>このページは教室から配布されたQRコード専用です。第三者に共有しないでください。</t>
        </is>
      </c>
      <c r="F29" s="13" t="inlineStr">
        <is>
          <t>ページ最下部</t>
        </is>
      </c>
      <c r="G29" s="13" t="inlineStr">
        <is>
          <t>ParentPortalPage.tsx</t>
        </is>
      </c>
      <c r="H29" s="12" t="inlineStr">
        <is>
          <t>257</t>
        </is>
      </c>
      <c r="I29" s="13" t="inlineStr"/>
      <c r="J29" s="6" t="n"/>
      <c r="K29" s="14" t="n"/>
      <c r="L29" s="6" t="n"/>
    </row>
    <row r="30">
      <c r="A30" s="12" t="n">
        <v>29</v>
      </c>
      <c r="B30" s="12" t="inlineStr">
        <is>
          <t>保護者</t>
        </is>
      </c>
      <c r="C30" s="13" t="inlineStr">
        <is>
          <t>A-1. 保護者ポータル</t>
        </is>
      </c>
      <c r="D30" s="12" t="inlineStr">
        <is>
          <t>検証用教室・staging のみ</t>
        </is>
      </c>
      <c r="E30" s="13" t="inlineStr">
        <is>
          <t>◯月◯日(土) 3限 16:20〜 英</t>
        </is>
      </c>
      <c r="F30" s="13" t="inlineStr">
        <is>
          <t>モーダル見出し（対象コマ）</t>
        </is>
      </c>
      <c r="G30" s="13" t="inlineStr">
        <is>
          <t>parentPortalPageModel.ts</t>
        </is>
      </c>
      <c r="H30" s="12" t="inlineStr">
        <is>
          <t>405–410</t>
        </is>
      </c>
      <c r="I30" s="13" t="inlineStr"/>
      <c r="J30" s="6" t="n"/>
      <c r="K30" s="14" t="n"/>
      <c r="L30" s="6" t="n"/>
    </row>
    <row r="31">
      <c r="A31" s="12" t="n">
        <v>30</v>
      </c>
      <c r="B31" s="12" t="inlineStr">
        <is>
          <t>保護者</t>
        </is>
      </c>
      <c r="C31" s="13" t="inlineStr">
        <is>
          <t>A-1. 保護者ポータル</t>
        </is>
      </c>
      <c r="D31" s="12" t="inlineStr">
        <is>
          <t>検証用教室・staging のみ</t>
        </is>
      </c>
      <c r="E31" s="13" t="inlineStr">
        <is>
          <t>このコマをお休みします。よろしいですか?</t>
        </is>
      </c>
      <c r="F31" s="13" t="inlineStr">
        <is>
          <t>質問文</t>
        </is>
      </c>
      <c r="G31" s="13" t="inlineStr">
        <is>
          <t>parentPortalPageModel.ts</t>
        </is>
      </c>
      <c r="H31" s="12" t="inlineStr">
        <is>
          <t>367</t>
        </is>
      </c>
      <c r="I31" s="15" t="inlineStr">
        <is>
          <t>「?」が半角</t>
        </is>
      </c>
      <c r="J31" s="6" t="n"/>
      <c r="K31" s="14" t="n"/>
      <c r="L31" s="6" t="n"/>
    </row>
    <row r="32">
      <c r="A32" s="12" t="n">
        <v>31</v>
      </c>
      <c r="B32" s="12" t="inlineStr">
        <is>
          <t>保護者</t>
        </is>
      </c>
      <c r="C32" s="13" t="inlineStr">
        <is>
          <t>A-1. 保護者ポータル</t>
        </is>
      </c>
      <c r="D32" s="12" t="inlineStr">
        <is>
          <t>検証用教室・staging のみ</t>
        </is>
      </c>
      <c r="E32" s="13" t="inlineStr">
        <is>
          <t>教室が確認すると、このページに「教室確認済」と表示されます。</t>
        </is>
      </c>
      <c r="F32" s="13" t="inlineStr">
        <is>
          <t>注記</t>
        </is>
      </c>
      <c r="G32" s="13" t="inlineStr">
        <is>
          <t>parentPortalPageModel.ts</t>
        </is>
      </c>
      <c r="H32" s="12" t="inlineStr">
        <is>
          <t>370</t>
        </is>
      </c>
      <c r="I32" s="13" t="inlineStr"/>
      <c r="J32" s="6" t="n"/>
      <c r="K32" s="14" t="n"/>
      <c r="L32" s="6" t="n"/>
    </row>
    <row r="33">
      <c r="A33" s="12" t="n">
        <v>32</v>
      </c>
      <c r="B33" s="12" t="inlineStr">
        <is>
          <t>保護者</t>
        </is>
      </c>
      <c r="C33" s="13" t="inlineStr">
        <is>
          <t>A-1. 保護者ポータル</t>
        </is>
      </c>
      <c r="D33" s="12" t="inlineStr">
        <is>
          <t>検証用教室・staging のみ</t>
        </is>
      </c>
      <c r="E33" s="13" t="inlineStr">
        <is>
          <t>取り消し・変更はお電話でご連絡ください。</t>
        </is>
      </c>
      <c r="F33" s="13" t="inlineStr">
        <is>
          <t>注記</t>
        </is>
      </c>
      <c r="G33" s="13" t="inlineStr">
        <is>
          <t>parentPortalPageModel.ts</t>
        </is>
      </c>
      <c r="H33" s="12" t="inlineStr">
        <is>
          <t>371</t>
        </is>
      </c>
      <c r="I33" s="13" t="inlineStr"/>
      <c r="J33" s="6" t="n"/>
      <c r="K33" s="14" t="n"/>
      <c r="L33" s="6" t="n"/>
    </row>
    <row r="34">
      <c r="A34" s="12" t="n">
        <v>33</v>
      </c>
      <c r="B34" s="12" t="inlineStr">
        <is>
          <t>保護者</t>
        </is>
      </c>
      <c r="C34" s="13" t="inlineStr">
        <is>
          <t>A-1. 保護者ポータル</t>
        </is>
      </c>
      <c r="D34" s="12" t="inlineStr">
        <is>
          <t>検証用教室・staging のみ</t>
        </is>
      </c>
      <c r="E34" s="13" t="inlineStr">
        <is>
          <t>当日のご連絡です。授業までに「教室確認済」にならない場合は、お電話でもご連絡ください。</t>
        </is>
      </c>
      <c r="F34" s="13" t="inlineStr">
        <is>
          <t>当日分だけ出る注記</t>
        </is>
      </c>
      <c r="G34" s="13" t="inlineStr">
        <is>
          <t>parentPortalPageModel.ts</t>
        </is>
      </c>
      <c r="H34" s="12" t="inlineStr">
        <is>
          <t>373</t>
        </is>
      </c>
      <c r="I34" s="13" t="inlineStr"/>
      <c r="J34" s="6" t="n"/>
      <c r="K34" s="14" t="n"/>
      <c r="L34" s="6" t="n"/>
    </row>
    <row r="35">
      <c r="A35" s="12" t="n">
        <v>34</v>
      </c>
      <c r="B35" s="12" t="inlineStr">
        <is>
          <t>保護者</t>
        </is>
      </c>
      <c r="C35" s="13" t="inlineStr">
        <is>
          <t>A-1. 保護者ポータル</t>
        </is>
      </c>
      <c r="D35" s="12" t="inlineStr">
        <is>
          <t>検証用教室・staging のみ</t>
        </is>
      </c>
      <c r="E35" s="13" t="inlineStr">
        <is>
          <t>お休みを連絡する</t>
        </is>
      </c>
      <c r="F35" s="13" t="inlineStr">
        <is>
          <t>ボタン</t>
        </is>
      </c>
      <c r="G35" s="13" t="inlineStr">
        <is>
          <t>parentPortalPageModel.ts / ParentPortalPage.tsx</t>
        </is>
      </c>
      <c r="H35" s="12" t="inlineStr">
        <is>
          <t>368–369 / 276</t>
        </is>
      </c>
      <c r="I35" s="15" t="inlineStr">
        <is>
          <t>三点リーダが半角</t>
        </is>
      </c>
      <c r="J35" s="6" t="n"/>
      <c r="K35" s="14" t="n"/>
      <c r="L35" s="6" t="n"/>
    </row>
    <row r="36">
      <c r="A36" s="12" t="n">
        <v>35</v>
      </c>
      <c r="B36" s="12" t="inlineStr">
        <is>
          <t>保護者</t>
        </is>
      </c>
      <c r="C36" s="13" t="inlineStr">
        <is>
          <t>A-1. 保護者ポータル</t>
        </is>
      </c>
      <c r="D36" s="12" t="inlineStr">
        <is>
          <t>検証用教室・staging のみ</t>
        </is>
      </c>
      <c r="E36" s="13" t="inlineStr">
        <is>
          <t>やめる</t>
        </is>
      </c>
      <c r="F36" s="13" t="inlineStr">
        <is>
          <t>ボタン</t>
        </is>
      </c>
      <c r="G36" s="13" t="inlineStr">
        <is>
          <t>parentPortalPageModel.ts / ParentPortalPage.tsx</t>
        </is>
      </c>
      <c r="H36" s="12" t="inlineStr">
        <is>
          <t>368–369 / 276</t>
        </is>
      </c>
      <c r="I36" s="15" t="inlineStr">
        <is>
          <t>三点リーダが半角</t>
        </is>
      </c>
      <c r="J36" s="6" t="n"/>
      <c r="K36" s="14" t="n"/>
      <c r="L36" s="6" t="n"/>
    </row>
    <row r="37">
      <c r="A37" s="12" t="n">
        <v>36</v>
      </c>
      <c r="B37" s="12" t="inlineStr">
        <is>
          <t>保護者</t>
        </is>
      </c>
      <c r="C37" s="13" t="inlineStr">
        <is>
          <t>A-1. 保護者ポータル</t>
        </is>
      </c>
      <c r="D37" s="12" t="inlineStr">
        <is>
          <t>検証用教室・staging のみ</t>
        </is>
      </c>
      <c r="E37" s="13" t="inlineStr">
        <is>
          <t>送信中...</t>
        </is>
      </c>
      <c r="F37" s="13" t="inlineStr">
        <is>
          <t>ボタン</t>
        </is>
      </c>
      <c r="G37" s="13" t="inlineStr">
        <is>
          <t>parentPortalPageModel.ts / ParentPortalPage.tsx</t>
        </is>
      </c>
      <c r="H37" s="12" t="inlineStr">
        <is>
          <t>368–369 / 276</t>
        </is>
      </c>
      <c r="I37" s="15" t="inlineStr">
        <is>
          <t>三点リーダが半角</t>
        </is>
      </c>
      <c r="J37" s="6" t="n"/>
      <c r="K37" s="14" t="n"/>
      <c r="L37" s="6" t="n"/>
    </row>
    <row r="38">
      <c r="A38" s="12" t="n">
        <v>37</v>
      </c>
      <c r="B38" s="12" t="inlineStr">
        <is>
          <t>保護者</t>
        </is>
      </c>
      <c r="C38" s="13" t="inlineStr">
        <is>
          <t>A-1. 保護者ポータル</t>
        </is>
      </c>
      <c r="D38" s="12" t="inlineStr">
        <is>
          <t>検証用教室・staging のみ</t>
        </is>
      </c>
      <c r="E38" s="13" t="inlineStr">
        <is>
          <t>お休みの連絡を送りました。</t>
        </is>
      </c>
      <c r="F38" s="13" t="inlineStr">
        <is>
          <t>送信後の緑バナー</t>
        </is>
      </c>
      <c r="G38" s="13" t="inlineStr">
        <is>
          <t>parentPortalPageModel.ts</t>
        </is>
      </c>
      <c r="H38" s="12" t="inlineStr">
        <is>
          <t>374</t>
        </is>
      </c>
      <c r="I38" s="13" t="inlineStr"/>
      <c r="J38" s="6" t="n"/>
      <c r="K38" s="14" t="n"/>
      <c r="L38" s="6" t="n"/>
    </row>
    <row r="39">
      <c r="A39" s="12" t="n">
        <v>38</v>
      </c>
      <c r="B39" s="12" t="inlineStr">
        <is>
          <t>保護者</t>
        </is>
      </c>
      <c r="C39" s="13" t="inlineStr">
        <is>
          <t>A-1. 保護者ポータル</t>
        </is>
      </c>
      <c r="D39" s="12" t="inlineStr">
        <is>
          <t>検証用教室・staging のみ</t>
        </is>
      </c>
      <c r="E39" s="13" t="inlineStr">
        <is>
          <t>文言</t>
        </is>
      </c>
      <c r="F39" s="13" t="inlineStr">
        <is>
          <t>出る場面</t>
        </is>
      </c>
      <c r="G39" s="13" t="inlineStr">
        <is>
          <t>クライアント</t>
        </is>
      </c>
      <c r="H39" s="12" t="inlineStr"/>
      <c r="I39" s="13" t="inlineStr"/>
      <c r="J39" s="6" t="n"/>
      <c r="K39" s="14" t="n"/>
      <c r="L39" s="6" t="n"/>
    </row>
    <row r="40">
      <c r="A40" s="12" t="n">
        <v>39</v>
      </c>
      <c r="B40" s="12" t="inlineStr">
        <is>
          <t>保護者</t>
        </is>
      </c>
      <c r="C40" s="13" t="inlineStr">
        <is>
          <t>A-1. 保護者ポータル</t>
        </is>
      </c>
      <c r="D40" s="12" t="inlineStr">
        <is>
          <t>検証用教室・staging のみ</t>
        </is>
      </c>
      <c r="E40" s="13" t="inlineStr">
        <is>
          <t>このリンクは現在ご利用いただけません。教室へお問い合わせください。</t>
        </is>
      </c>
      <c r="F40" s="13" t="inlineStr">
        <is>
          <t>QRが失効・退塾後など</t>
        </is>
      </c>
      <c r="G40" s="13" t="inlineStr">
        <is>
          <t>parentPortalPageModel.ts</t>
        </is>
      </c>
      <c r="H40" s="12" t="inlineStr">
        <is>
          <t>69</t>
        </is>
      </c>
      <c r="I40" s="13" t="inlineStr"/>
      <c r="J40" s="6" t="n"/>
      <c r="K40" s="14" t="n"/>
      <c r="L40" s="6" t="n"/>
    </row>
    <row r="41">
      <c r="A41" s="12" t="n">
        <v>40</v>
      </c>
      <c r="B41" s="12" t="inlineStr">
        <is>
          <t>保護者</t>
        </is>
      </c>
      <c r="C41" s="13" t="inlineStr">
        <is>
          <t>A-1. 保護者ポータル</t>
        </is>
      </c>
      <c r="D41" s="12" t="inlineStr">
        <is>
          <t>検証用教室・staging のみ</t>
        </is>
      </c>
      <c r="E41" s="13" t="inlineStr">
        <is>
          <t>現在ご利用いただけません。</t>
        </is>
      </c>
      <c r="F41" s="13" t="inlineStr">
        <is>
          <t>機能が教室で無効</t>
        </is>
      </c>
      <c r="G41" s="13" t="inlineStr">
        <is>
          <t>parentPortalPageModel.ts</t>
        </is>
      </c>
      <c r="H41" s="12" t="inlineStr">
        <is>
          <t>70</t>
        </is>
      </c>
      <c r="I41" s="13" t="inlineStr"/>
      <c r="J41" s="6" t="n"/>
      <c r="K41" s="14" t="n"/>
      <c r="L41" s="6" t="n"/>
    </row>
    <row r="42">
      <c r="A42" s="12" t="n">
        <v>41</v>
      </c>
      <c r="B42" s="12" t="inlineStr">
        <is>
          <t>保護者</t>
        </is>
      </c>
      <c r="C42" s="13" t="inlineStr">
        <is>
          <t>A-1. 保護者ポータル</t>
        </is>
      </c>
      <c r="D42" s="12" t="inlineStr">
        <is>
          <t>検証用教室・staging のみ</t>
        </is>
      </c>
      <c r="E42" s="13" t="inlineStr">
        <is>
          <t>このリンクは無効です。教室へお問い合わせください。</t>
        </is>
      </c>
      <c r="F42" s="13" t="inlineStr">
        <is>
          <t>URLの形が不正</t>
        </is>
      </c>
      <c r="G42" s="13" t="inlineStr">
        <is>
          <t>parentPortalPageModel.ts</t>
        </is>
      </c>
      <c r="H42" s="12" t="inlineStr">
        <is>
          <t>71</t>
        </is>
      </c>
      <c r="I42" s="13" t="inlineStr"/>
      <c r="J42" s="6" t="n"/>
      <c r="K42" s="14" t="n"/>
      <c r="L42" s="6" t="n"/>
    </row>
    <row r="43">
      <c r="A43" s="12" t="n">
        <v>42</v>
      </c>
      <c r="B43" s="12" t="inlineStr">
        <is>
          <t>保護者</t>
        </is>
      </c>
      <c r="C43" s="13" t="inlineStr">
        <is>
          <t>A-1. 保護者ポータル</t>
        </is>
      </c>
      <c r="D43" s="12" t="inlineStr">
        <is>
          <t>検証用教室・staging のみ</t>
        </is>
      </c>
      <c r="E43" s="13" t="inlineStr">
        <is>
          <t>データの読み込みに失敗しました。</t>
        </is>
      </c>
      <c r="F43" s="13" t="inlineStr">
        <is>
          <t>応答が読めない</t>
        </is>
      </c>
      <c r="G43" s="13" t="inlineStr">
        <is>
          <t>parentPortalPageModel.ts</t>
        </is>
      </c>
      <c r="H43" s="12" t="inlineStr">
        <is>
          <t>72</t>
        </is>
      </c>
      <c r="I43" s="13" t="inlineStr"/>
      <c r="J43" s="6" t="n"/>
      <c r="K43" s="14" t="n"/>
      <c r="L43" s="6" t="n"/>
    </row>
    <row r="44">
      <c r="A44" s="12" t="n">
        <v>43</v>
      </c>
      <c r="B44" s="12" t="inlineStr">
        <is>
          <t>保護者</t>
        </is>
      </c>
      <c r="C44" s="13" t="inlineStr">
        <is>
          <t>A-1. 保護者ポータル</t>
        </is>
      </c>
      <c r="D44" s="12" t="inlineStr">
        <is>
          <t>検証用教室・staging のみ</t>
        </is>
      </c>
      <c r="E44" s="13" t="inlineStr">
        <is>
          <t>通信エラーが発生しました。インターネット接続を確認してください。</t>
        </is>
      </c>
      <c r="F44" s="13" t="inlineStr">
        <is>
          <t>通信断（読み込み時）</t>
        </is>
      </c>
      <c r="G44" s="13" t="inlineStr">
        <is>
          <t>parentPortalPageModel.ts</t>
        </is>
      </c>
      <c r="H44" s="12" t="inlineStr">
        <is>
          <t>73</t>
        </is>
      </c>
      <c r="I44" s="13" t="inlineStr"/>
      <c r="J44" s="6" t="n"/>
      <c r="K44" s="14" t="n"/>
      <c r="L44" s="6" t="n"/>
    </row>
    <row r="45">
      <c r="A45" s="12" t="n">
        <v>44</v>
      </c>
      <c r="B45" s="12" t="inlineStr">
        <is>
          <t>保護者</t>
        </is>
      </c>
      <c r="C45" s="13" t="inlineStr">
        <is>
          <t>A-1. 保護者ポータル</t>
        </is>
      </c>
      <c r="D45" s="12" t="inlineStr">
        <is>
          <t>検証用教室・staging のみ</t>
        </is>
      </c>
      <c r="E45" s="13" t="inlineStr">
        <is>
          <t>通信エラーが発生しました。再度お試しください。</t>
        </is>
      </c>
      <c r="F45" s="13" t="inlineStr">
        <is>
          <t>通信断（送信時）</t>
        </is>
      </c>
      <c r="G45" s="13" t="inlineStr">
        <is>
          <t>parentPortalPageModel.ts</t>
        </is>
      </c>
      <c r="H45" s="12" t="inlineStr">
        <is>
          <t>76</t>
        </is>
      </c>
      <c r="I45" s="13" t="inlineStr"/>
      <c r="J45" s="6" t="n"/>
      <c r="K45" s="14" t="n"/>
      <c r="L45" s="6" t="n"/>
    </row>
    <row r="46">
      <c r="A46" s="12" t="n">
        <v>45</v>
      </c>
      <c r="B46" s="12" t="inlineStr">
        <is>
          <t>保護者</t>
        </is>
      </c>
      <c r="C46" s="13" t="inlineStr">
        <is>
          <t>A-1. 保護者ポータル</t>
        </is>
      </c>
      <c r="D46" s="12" t="inlineStr">
        <is>
          <t>検証用教室・staging のみ</t>
        </is>
      </c>
      <c r="E46" s="13" t="inlineStr">
        <is>
          <t>本日の送信上限に達しました。お急ぎの場合は教室へお電話ください。</t>
        </is>
      </c>
      <c r="F46" s="13" t="inlineStr">
        <is>
          <t>1日の上限超過</t>
        </is>
      </c>
      <c r="G46" s="13" t="inlineStr">
        <is>
          <t>parentPortalPageModel.ts</t>
        </is>
      </c>
      <c r="H46" s="12" t="inlineStr">
        <is>
          <t>74</t>
        </is>
      </c>
      <c r="I46" s="13" t="inlineStr"/>
      <c r="J46" s="6" t="n"/>
      <c r="K46" s="14" t="n"/>
      <c r="L46" s="6" t="n"/>
    </row>
    <row r="47">
      <c r="A47" s="12" t="n">
        <v>46</v>
      </c>
      <c r="B47" s="12" t="inlineStr">
        <is>
          <t>保護者</t>
        </is>
      </c>
      <c r="C47" s="13" t="inlineStr">
        <is>
          <t>A-1. 保護者ポータル</t>
        </is>
      </c>
      <c r="D47" s="12" t="inlineStr">
        <is>
          <t>検証用教室・staging のみ</t>
        </is>
      </c>
      <c r="E47" s="13" t="inlineStr">
        <is>
          <t>送信に失敗しました。時間をおいて再度お試しください。</t>
        </is>
      </c>
      <c r="F47" s="13" t="inlineStr">
        <is>
          <t>送信失敗</t>
        </is>
      </c>
      <c r="G47" s="13" t="inlineStr">
        <is>
          <t>parentPortalPageModel.ts</t>
        </is>
      </c>
      <c r="H47" s="12" t="inlineStr">
        <is>
          <t>75</t>
        </is>
      </c>
      <c r="I47" s="13" t="inlineStr"/>
      <c r="J47" s="6" t="n"/>
      <c r="K47" s="14" t="n"/>
      <c r="L47" s="6" t="n"/>
    </row>
    <row r="48">
      <c r="A48" s="12" t="n">
        <v>47</v>
      </c>
      <c r="B48" s="12" t="inlineStr">
        <is>
          <t>保護者</t>
        </is>
      </c>
      <c r="C48" s="13" t="inlineStr">
        <is>
          <t>A-1. 保護者ポータル</t>
        </is>
      </c>
      <c r="D48" s="12" t="inlineStr">
        <is>
          <t>検証用教室・staging のみ</t>
        </is>
      </c>
      <c r="E48" s="13" t="inlineStr">
        <is>
          <t>このコマはお休みの連絡ができません。ページを読み込み直して最新の予定をご確認ください。</t>
        </is>
      </c>
      <c r="F48" s="13" t="inlineStr">
        <is>
          <t>画面が古い（409）</t>
        </is>
      </c>
      <c r="G48" s="13" t="inlineStr">
        <is>
          <t>parentPortalPageModel.ts</t>
        </is>
      </c>
      <c r="H48" s="12" t="inlineStr">
        <is>
          <t>375</t>
        </is>
      </c>
      <c r="I48" s="13" t="inlineStr"/>
      <c r="J48" s="6" t="n"/>
      <c r="K48" s="14" t="n"/>
      <c r="L48" s="6" t="n"/>
    </row>
    <row r="49">
      <c r="A49" s="12" t="n">
        <v>48</v>
      </c>
      <c r="B49" s="12" t="inlineStr">
        <is>
          <t>保護者</t>
        </is>
      </c>
      <c r="C49" s="13" t="inlineStr">
        <is>
          <t>A-1. 保護者ポータル</t>
        </is>
      </c>
      <c r="D49" s="12" t="inlineStr">
        <is>
          <t>検証用教室・staging のみ</t>
        </is>
      </c>
      <c r="E49" s="13" t="inlineStr">
        <is>
          <t>このコマはすでにお休みの連絡を受け付けています。</t>
        </is>
      </c>
      <c r="F49" s="13" t="inlineStr">
        <is>
          <t>二重送信</t>
        </is>
      </c>
      <c r="G49" s="13" t="inlineStr">
        <is>
          <t>—</t>
        </is>
      </c>
      <c r="H49" s="12" t="inlineStr"/>
      <c r="I49" s="13" t="inlineStr"/>
      <c r="J49" s="6" t="n"/>
      <c r="K49" s="14" t="n"/>
      <c r="L49" s="6" t="n"/>
    </row>
    <row r="50">
      <c r="A50" s="12" t="n">
        <v>49</v>
      </c>
      <c r="B50" s="12" t="inlineStr">
        <is>
          <t>保護者</t>
        </is>
      </c>
      <c r="C50" s="13" t="inlineStr">
        <is>
          <t>A-1. 保護者ポータル</t>
        </is>
      </c>
      <c r="D50" s="12" t="inlineStr">
        <is>
          <t>検証用教室・staging のみ</t>
        </is>
      </c>
      <c r="E50" s="13" t="inlineStr">
        <is>
          <t>入力の形式が正しくありません。</t>
        </is>
      </c>
      <c r="F50" s="13" t="inlineStr">
        <is>
          <t>送信内容が不正</t>
        </is>
      </c>
      <c r="G50" s="13" t="inlineStr">
        <is>
          <t>—</t>
        </is>
      </c>
      <c r="H50" s="12" t="inlineStr"/>
      <c r="I50" s="15" t="inlineStr">
        <is>
          <t>保護者に意味が伝わりにくい</t>
        </is>
      </c>
      <c r="J50" s="6" t="n"/>
      <c r="K50" s="14" t="n"/>
      <c r="L50" s="6" t="n"/>
    </row>
    <row r="51">
      <c r="A51" s="12" t="n">
        <v>50</v>
      </c>
      <c r="B51" s="12" t="inlineStr">
        <is>
          <t>保護者</t>
        </is>
      </c>
      <c r="C51" s="13" t="inlineStr">
        <is>
          <t>A-1. 保護者ポータル</t>
        </is>
      </c>
      <c r="D51" s="12" t="inlineStr">
        <is>
          <t>検証用教室・staging のみ</t>
        </is>
      </c>
      <c r="E51" s="13" t="inlineStr">
        <is>
          <t>許可されていないメソッドです。</t>
        </is>
      </c>
      <c r="F51" s="13" t="inlineStr"/>
      <c r="G51" s="13" t="inlineStr">
        <is>
          <t>—</t>
        </is>
      </c>
      <c r="H51" s="12" t="inlineStr"/>
      <c r="I51" s="15" t="inlineStr">
        <is>
          <t>完全に技術用語。保護者に出る可能性</t>
        </is>
      </c>
      <c r="J51" s="6" t="n"/>
      <c r="K51" s="14" t="n"/>
      <c r="L51" s="6" t="n"/>
    </row>
    <row r="52">
      <c r="A52" s="12" t="n">
        <v>51</v>
      </c>
      <c r="B52" s="12" t="inlineStr">
        <is>
          <t>保護者</t>
        </is>
      </c>
      <c r="C52" s="13" t="inlineStr">
        <is>
          <t>A-1. 保護者ポータル</t>
        </is>
      </c>
      <c r="D52" s="12" t="inlineStr">
        <is>
          <t>検証用教室・staging のみ</t>
        </is>
      </c>
      <c r="E52" s="13" t="inlineStr">
        <is>
          <t>サーバーでエラーが発生しました。時間をおいて再度お試しください。</t>
        </is>
      </c>
      <c r="F52" s="13" t="inlineStr">
        <is>
          <t>想定外エラー</t>
        </is>
      </c>
      <c r="G52" s="13" t="inlineStr">
        <is>
          <t>—</t>
        </is>
      </c>
      <c r="H52" s="12" t="inlineStr"/>
      <c r="I52" s="13" t="inlineStr"/>
      <c r="J52" s="6" t="n"/>
      <c r="K52" s="14" t="n"/>
      <c r="L52" s="6" t="n"/>
    </row>
    <row r="53">
      <c r="A53" s="12" t="n">
        <v>52</v>
      </c>
      <c r="B53" s="12" t="inlineStr">
        <is>
          <t>保護者</t>
        </is>
      </c>
      <c r="C53" s="13" t="inlineStr">
        <is>
          <t>A-1. 保護者ポータル</t>
        </is>
      </c>
      <c r="D53" s="12" t="inlineStr">
        <is>
          <t>検証用教室・staging のみ</t>
        </is>
      </c>
      <c r="E53" s="13" t="inlineStr">
        <is>
          <t>アクセスが集中しています。少し待ってから開き直してください。</t>
        </is>
      </c>
      <c r="F53" s="13" t="inlineStr">
        <is>
          <t>読み込み回数の制限</t>
        </is>
      </c>
      <c r="G53" s="13" t="inlineStr">
        <is>
          <t>—</t>
        </is>
      </c>
      <c r="H53" s="12" t="inlineStr"/>
      <c r="I53" s="13" t="inlineStr"/>
      <c r="J53" s="6" t="n"/>
      <c r="K53" s="14" t="n"/>
      <c r="L53" s="6" t="n"/>
    </row>
    <row r="54">
      <c r="A54" s="16" t="n">
        <v>53</v>
      </c>
      <c r="B54" s="16" t="inlineStr">
        <is>
          <t>保護者</t>
        </is>
      </c>
      <c r="C54" s="5" t="inlineStr">
        <is>
          <t>A-2. 保護者用QRの紙</t>
        </is>
      </c>
      <c r="D54" s="16" t="inlineStr">
        <is>
          <t>検証用教室・staging のみ</t>
        </is>
      </c>
      <c r="E54" s="5" t="inlineStr">
        <is>
          <t>保護者用QR</t>
        </is>
      </c>
      <c r="F54" s="5" t="inlineStr">
        <is>
          <t>紙の見出し・印刷タイトル</t>
        </is>
      </c>
      <c r="G54" s="5" t="inlineStr">
        <is>
          <t>parentPortalQr.ts</t>
        </is>
      </c>
      <c r="H54" s="16" t="inlineStr">
        <is>
          <t>15</t>
        </is>
      </c>
      <c r="I54" s="5" t="inlineStr"/>
      <c r="J54" s="6" t="n"/>
      <c r="K54" s="14" t="n"/>
      <c r="L54" s="6" t="n"/>
    </row>
    <row r="55">
      <c r="A55" s="16" t="n">
        <v>54</v>
      </c>
      <c r="B55" s="16" t="inlineStr">
        <is>
          <t>保護者</t>
        </is>
      </c>
      <c r="C55" s="5" t="inlineStr">
        <is>
          <t>A-2. 保護者用QRの紙</t>
        </is>
      </c>
      <c r="D55" s="16" t="inlineStr">
        <is>
          <t>検証用教室・staging のみ</t>
        </is>
      </c>
      <c r="E55" s="5" t="inlineStr">
        <is>
          <t>このQRコードを読み取ると、お子さまの授業予定の確認とお休みの連絡ができます。</t>
        </is>
      </c>
      <c r="F55" s="5" t="inlineStr">
        <is>
          <t>紙の説明文</t>
        </is>
      </c>
      <c r="G55" s="5" t="inlineStr">
        <is>
          <t>parentPortalQr.ts</t>
        </is>
      </c>
      <c r="H55" s="16" t="inlineStr">
        <is>
          <t>18</t>
        </is>
      </c>
      <c r="I55" s="5" t="inlineStr"/>
      <c r="J55" s="6" t="n"/>
      <c r="K55" s="14" t="n"/>
      <c r="L55" s="6" t="n"/>
    </row>
    <row r="56">
      <c r="A56" s="16" t="n">
        <v>55</v>
      </c>
      <c r="B56" s="16" t="inlineStr">
        <is>
          <t>保護者</t>
        </is>
      </c>
      <c r="C56" s="5" t="inlineStr">
        <is>
          <t>A-2. 保護者用QRの紙</t>
        </is>
      </c>
      <c r="D56" s="16" t="inlineStr">
        <is>
          <t>検証用教室・staging のみ</t>
        </is>
      </c>
      <c r="E56" s="5" t="inlineStr">
        <is>
          <t>QRコードは第三者に見せないでください。紛失した場合は教室へご連絡ください（再発行できます）。</t>
        </is>
      </c>
      <c r="F56" s="5" t="inlineStr">
        <is>
          <t>紙の注意文</t>
        </is>
      </c>
      <c r="G56" s="5" t="inlineStr">
        <is>
          <t>parentPortalQr.ts</t>
        </is>
      </c>
      <c r="H56" s="16" t="inlineStr">
        <is>
          <t>19</t>
        </is>
      </c>
      <c r="I56" s="5" t="inlineStr"/>
      <c r="J56" s="6" t="n"/>
      <c r="K56" s="14" t="n"/>
      <c r="L56" s="6" t="n"/>
    </row>
    <row r="57">
      <c r="A57" s="16" t="n">
        <v>56</v>
      </c>
      <c r="B57" s="16" t="inlineStr">
        <is>
          <t>保護者</t>
        </is>
      </c>
      <c r="C57" s="5" t="inlineStr">
        <is>
          <t>A-2. 保護者用QRの紙</t>
        </is>
      </c>
      <c r="D57" s="16" t="inlineStr">
        <is>
          <t>検証用教室・staging のみ</t>
        </is>
      </c>
      <c r="E57" s="5" t="inlineStr">
        <is>
          <t>（URL 文字列をそのまま印字）</t>
        </is>
      </c>
      <c r="F57" s="5" t="inlineStr">
        <is>
          <t>QRの下</t>
        </is>
      </c>
      <c r="G57" s="5" t="inlineStr">
        <is>
          <t>parentPortalQr.ts</t>
        </is>
      </c>
      <c r="H57" s="16" t="inlineStr">
        <is>
          <t>91</t>
        </is>
      </c>
      <c r="I57" s="15" t="inlineStr">
        <is>
          <t>長いURLが紙に出る。要否の判断を</t>
        </is>
      </c>
      <c r="J57" s="6" t="n"/>
      <c r="K57" s="14" t="n"/>
      <c r="L57" s="6" t="n"/>
    </row>
    <row r="58">
      <c r="A58" s="12" t="n">
        <v>57</v>
      </c>
      <c r="B58" s="12" t="inlineStr">
        <is>
          <t>保護者</t>
        </is>
      </c>
      <c r="C58" s="13" t="inlineStr">
        <is>
          <t>A-3. 講習の提出ページ</t>
        </is>
      </c>
      <c r="D58" s="12" t="inlineStr">
        <is>
          <t>全教室</t>
        </is>
      </c>
      <c r="E58" s="13" t="inlineStr">
        <is>
          <t>このリンクは無効です。管理者にお問い合わせください。</t>
        </is>
      </c>
      <c r="F58" s="13" t="inlineStr">
        <is>
          <t>リンク切れ</t>
        </is>
      </c>
      <c r="G58" s="13" t="inlineStr">
        <is>
          <t>SubmissionPage.tsx</t>
        </is>
      </c>
      <c r="H58" s="12" t="inlineStr">
        <is>
          <t>238</t>
        </is>
      </c>
      <c r="I58" s="15" t="inlineStr">
        <is>
          <t>A-1 は「教室へお問い合わせください」。用語ゆれ（管理者/教室）</t>
        </is>
      </c>
      <c r="J58" s="6" t="n"/>
      <c r="K58" s="14" t="n"/>
      <c r="L58" s="6" t="n"/>
    </row>
    <row r="59">
      <c r="A59" s="12" t="n">
        <v>58</v>
      </c>
      <c r="B59" s="12" t="inlineStr">
        <is>
          <t>保護者</t>
        </is>
      </c>
      <c r="C59" s="13" t="inlineStr">
        <is>
          <t>A-3. 講習の提出ページ</t>
        </is>
      </c>
      <c r="D59" s="12" t="inlineStr">
        <is>
          <t>全教室</t>
        </is>
      </c>
      <c r="E59" s="13" t="inlineStr">
        <is>
          <t>データの読み込みに失敗しました。</t>
        </is>
      </c>
      <c r="F59" s="13" t="inlineStr">
        <is>
          <t>読み込み失敗</t>
        </is>
      </c>
      <c r="G59" s="13" t="inlineStr">
        <is>
          <t>SubmissionPage.tsx</t>
        </is>
      </c>
      <c r="H59" s="12" t="inlineStr">
        <is>
          <t>240</t>
        </is>
      </c>
      <c r="I59" s="13" t="inlineStr"/>
      <c r="J59" s="6" t="n"/>
      <c r="K59" s="14" t="n"/>
      <c r="L59" s="6" t="n"/>
    </row>
    <row r="60">
      <c r="A60" s="12" t="n">
        <v>59</v>
      </c>
      <c r="B60" s="12" t="inlineStr">
        <is>
          <t>保護者</t>
        </is>
      </c>
      <c r="C60" s="13" t="inlineStr">
        <is>
          <t>A-3. 講習の提出ページ</t>
        </is>
      </c>
      <c r="D60" s="12" t="inlineStr">
        <is>
          <t>全教室</t>
        </is>
      </c>
      <c r="E60" s="13" t="inlineStr">
        <is>
          <t>通信エラーが発生しました。インターネット接続を確認してください。</t>
        </is>
      </c>
      <c r="F60" s="13" t="inlineStr">
        <is>
          <t>通信断</t>
        </is>
      </c>
      <c r="G60" s="13" t="inlineStr">
        <is>
          <t>SubmissionPage.tsx</t>
        </is>
      </c>
      <c r="H60" s="12" t="inlineStr">
        <is>
          <t>257</t>
        </is>
      </c>
      <c r="I60" s="13" t="inlineStr"/>
      <c r="J60" s="6" t="n"/>
      <c r="K60" s="14" t="n"/>
      <c r="L60" s="6" t="n"/>
    </row>
    <row r="61">
      <c r="A61" s="12" t="n">
        <v>60</v>
      </c>
      <c r="B61" s="12" t="inlineStr">
        <is>
          <t>保護者</t>
        </is>
      </c>
      <c r="C61" s="13" t="inlineStr">
        <is>
          <t>A-3. 講習の提出ページ</t>
        </is>
      </c>
      <c r="D61" s="12" t="inlineStr">
        <is>
          <t>全教室</t>
        </is>
      </c>
      <c r="E61" s="13" t="inlineStr">
        <is>
          <t>出席できないコマをタップしてください。日付をタップすると終日不可になります。</t>
        </is>
      </c>
      <c r="F61" s="13" t="inlineStr">
        <is>
          <t>出席不可コマ表の上</t>
        </is>
      </c>
      <c r="G61" s="13" t="inlineStr">
        <is>
          <t>SubmissionPage.tsx</t>
        </is>
      </c>
      <c r="H61" s="12" t="inlineStr">
        <is>
          <t>683</t>
        </is>
      </c>
      <c r="I61" s="13" t="inlineStr"/>
      <c r="J61" s="6" t="n"/>
      <c r="K61" s="14" t="n"/>
      <c r="L61" s="6" t="n"/>
    </row>
    <row r="62">
      <c r="A62" s="12" t="n">
        <v>61</v>
      </c>
      <c r="B62" s="12" t="inlineStr">
        <is>
          <t>保護者</t>
        </is>
      </c>
      <c r="C62" s="13" t="inlineStr">
        <is>
          <t>A-3. 講習の提出ページ</t>
        </is>
      </c>
      <c r="D62" s="12" t="inlineStr">
        <is>
          <t>全教室</t>
        </is>
      </c>
      <c r="E62" s="13" t="inlineStr">
        <is>
          <t>黄色のコマは、提出後に教室で「出席可能」に変更されたコマです</t>
        </is>
      </c>
      <c r="F62" s="13" t="inlineStr">
        <is>
          <t>提出済みの表の凡例</t>
        </is>
      </c>
      <c r="G62" s="13" t="inlineStr">
        <is>
          <t>SubmissionPage.tsx</t>
        </is>
      </c>
      <c r="H62" s="12" t="inlineStr">
        <is>
          <t>565</t>
        </is>
      </c>
      <c r="I62" s="13" t="inlineStr"/>
      <c r="J62" s="6" t="n"/>
      <c r="K62" s="14" t="n"/>
      <c r="L62" s="6" t="n"/>
    </row>
    <row r="63">
      <c r="A63" s="12" t="n">
        <v>62</v>
      </c>
      <c r="B63" s="12" t="inlineStr">
        <is>
          <t>保護者</t>
        </is>
      </c>
      <c r="C63" s="13" t="inlineStr">
        <is>
          <t>A-3. 講習の提出ページ</t>
        </is>
      </c>
      <c r="D63" s="12" t="inlineStr">
        <is>
          <t>全教室</t>
        </is>
      </c>
      <c r="E63" s="13" t="inlineStr">
        <is>
          <t>参加する科目にチェックを入れてください（未チェックは不参加）。</t>
        </is>
      </c>
      <c r="F63" s="13" t="inlineStr">
        <is>
          <t>集団授業欄</t>
        </is>
      </c>
      <c r="G63" s="13" t="inlineStr">
        <is>
          <t>SubmissionPage.tsx</t>
        </is>
      </c>
      <c r="H63" s="12" t="inlineStr">
        <is>
          <t>818</t>
        </is>
      </c>
      <c r="I63" s="13" t="inlineStr"/>
      <c r="J63" s="6" t="n"/>
      <c r="K63" s="14" t="n"/>
      <c r="L63" s="6" t="n"/>
    </row>
    <row r="64">
      <c r="A64" s="12" t="n">
        <v>63</v>
      </c>
      <c r="B64" s="12" t="inlineStr">
        <is>
          <t>保護者</t>
        </is>
      </c>
      <c r="C64" s="13" t="inlineStr">
        <is>
          <t>A-3. 講習の提出ページ</t>
        </is>
      </c>
      <c r="D64" s="12" t="inlineStr">
        <is>
          <t>全教室</t>
        </is>
      </c>
      <c r="E64" s="13" t="inlineStr">
        <is>
          <t>希望する項目にチェックを入れてください（未チェックはなし）。</t>
        </is>
      </c>
      <c r="F64" s="13" t="inlineStr">
        <is>
          <t>オプション欄</t>
        </is>
      </c>
      <c r="G64" s="13" t="inlineStr">
        <is>
          <t>SubmissionPage.tsx</t>
        </is>
      </c>
      <c r="H64" s="12" t="inlineStr">
        <is>
          <t>844</t>
        </is>
      </c>
      <c r="I64" s="13" t="inlineStr"/>
      <c r="J64" s="6" t="n"/>
      <c r="K64" s="14" t="n"/>
      <c r="L64" s="6" t="n"/>
    </row>
    <row r="65">
      <c r="A65" s="12" t="n">
        <v>64</v>
      </c>
      <c r="B65" s="12" t="inlineStr">
        <is>
          <t>保護者</t>
        </is>
      </c>
      <c r="C65" s="13" t="inlineStr">
        <is>
          <t>A-3. 講習の提出ページ</t>
        </is>
      </c>
      <c r="D65" s="12" t="inlineStr">
        <is>
          <t>全教室</t>
        </is>
      </c>
      <c r="E65" s="13" t="inlineStr">
        <is>
          <t>通常授業のみ（講習なし）</t>
        </is>
      </c>
      <c r="F65" s="13" t="inlineStr">
        <is>
          <t>チェック項目</t>
        </is>
      </c>
      <c r="G65" s="13" t="inlineStr">
        <is>
          <t>SubmissionPage.tsx</t>
        </is>
      </c>
      <c r="H65" s="12" t="inlineStr">
        <is>
          <t>808</t>
        </is>
      </c>
      <c r="I65" s="13" t="inlineStr"/>
      <c r="J65" s="6" t="n"/>
      <c r="K65" s="14" t="n"/>
      <c r="L65" s="6" t="n"/>
    </row>
    <row r="66">
      <c r="A66" s="12" t="n">
        <v>65</v>
      </c>
      <c r="B66" s="12" t="inlineStr">
        <is>
          <t>保護者</t>
        </is>
      </c>
      <c r="C66" s="13" t="inlineStr">
        <is>
          <t>A-3. 講習の提出ページ</t>
        </is>
      </c>
      <c r="D66" s="12" t="inlineStr">
        <is>
          <t>全教室</t>
        </is>
      </c>
      <c r="E66" s="13" t="inlineStr">
        <is>
          <t>※ 提出後に変更が必要な場合は教室にお問い合わせください</t>
        </is>
      </c>
      <c r="F66" s="13" t="inlineStr">
        <is>
          <t>提出ボタンの下</t>
        </is>
      </c>
      <c r="G66" s="13" t="inlineStr">
        <is>
          <t>SubmissionPage.tsx</t>
        </is>
      </c>
      <c r="H66" s="12" t="inlineStr">
        <is>
          <t>879</t>
        </is>
      </c>
      <c r="I66" s="13" t="inlineStr"/>
      <c r="J66" s="6" t="n"/>
      <c r="K66" s="14" t="n"/>
      <c r="L66" s="6" t="n"/>
    </row>
    <row r="67">
      <c r="A67" s="12" t="n">
        <v>66</v>
      </c>
      <c r="B67" s="12" t="inlineStr">
        <is>
          <t>保護者</t>
        </is>
      </c>
      <c r="C67" s="13" t="inlineStr">
        <is>
          <t>A-3. 講習の提出ページ</t>
        </is>
      </c>
      <c r="D67" s="12" t="inlineStr">
        <is>
          <t>全教室</t>
        </is>
      </c>
      <c r="E67" s="13" t="inlineStr">
        <is>
          <t>◯◯が組まれていますが出席不可として提出しますか？</t>
        </is>
      </c>
      <c r="F67" s="13" t="inlineStr">
        <is>
          <t>確認ダイアログ</t>
        </is>
      </c>
      <c r="G67" s="13" t="inlineStr">
        <is>
          <t>SubmissionPage.tsx</t>
        </is>
      </c>
      <c r="H67" s="12" t="inlineStr">
        <is>
          <t>282</t>
        </is>
      </c>
      <c r="I67" s="13" t="inlineStr"/>
      <c r="J67" s="6" t="n"/>
      <c r="K67" s="14" t="n"/>
      <c r="L67" s="6" t="n"/>
    </row>
    <row r="68">
      <c r="A68" s="12" t="n">
        <v>67</v>
      </c>
      <c r="B68" s="12" t="inlineStr">
        <is>
          <t>保護者</t>
        </is>
      </c>
      <c r="C68" s="13" t="inlineStr">
        <is>
          <t>A-3. 講習の提出ページ</t>
        </is>
      </c>
      <c r="D68" s="12" t="inlineStr">
        <is>
          <t>全教室</t>
        </is>
      </c>
      <c r="E68" s="13" t="inlineStr">
        <is>
          <t>◯◯が組まれている日ですが終日不可として提出しますか？</t>
        </is>
      </c>
      <c r="F68" s="13" t="inlineStr">
        <is>
          <t>確認ダイアログ</t>
        </is>
      </c>
      <c r="G68" s="13" t="inlineStr">
        <is>
          <t>SubmissionPage.tsx</t>
        </is>
      </c>
      <c r="H68" s="12" t="inlineStr">
        <is>
          <t>296</t>
        </is>
      </c>
      <c r="I68" s="13" t="inlineStr"/>
      <c r="J68" s="6" t="n"/>
      <c r="K68" s="14" t="n"/>
      <c r="L68" s="6" t="n"/>
    </row>
    <row r="69">
      <c r="A69" s="12" t="n">
        <v>68</v>
      </c>
      <c r="B69" s="12" t="inlineStr">
        <is>
          <t>保護者</t>
        </is>
      </c>
      <c r="C69" s="13" t="inlineStr">
        <is>
          <t>A-3. 講習の提出ページ</t>
        </is>
      </c>
      <c r="D69" s="12" t="inlineStr">
        <is>
          <t>全教室</t>
        </is>
      </c>
      <c r="E69" s="13" t="inlineStr">
        <is>
          <t>◯◯が組まれているコマがありますが全て不可として提出しますか？</t>
        </is>
      </c>
      <c r="F69" s="13" t="inlineStr">
        <is>
          <t>確認ダイアログ</t>
        </is>
      </c>
      <c r="G69" s="13" t="inlineStr">
        <is>
          <t>SubmissionPage.tsx</t>
        </is>
      </c>
      <c r="H69" s="12" t="inlineStr">
        <is>
          <t>313</t>
        </is>
      </c>
      <c r="I69" s="13" t="inlineStr"/>
      <c r="J69" s="6" t="n"/>
      <c r="K69" s="14" t="n"/>
      <c r="L69" s="6" t="n"/>
    </row>
    <row r="70">
      <c r="A70" s="12" t="n">
        <v>69</v>
      </c>
      <c r="B70" s="12" t="inlineStr">
        <is>
          <t>保護者</t>
        </is>
      </c>
      <c r="C70" s="13" t="inlineStr">
        <is>
          <t>A-3. 講習の提出ページ</t>
        </is>
      </c>
      <c r="D70" s="12" t="inlineStr">
        <is>
          <t>全教室</t>
        </is>
      </c>
      <c r="E70" s="13" t="inlineStr">
        <is>
          <t>提出します。よろしいですか？</t>
        </is>
      </c>
      <c r="F70" s="13" t="inlineStr">
        <is>
          <t>提出の最終確認</t>
        </is>
      </c>
      <c r="G70" s="13" t="inlineStr">
        <is>
          <t>SubmissionPage.tsx</t>
        </is>
      </c>
      <c r="H70" s="12" t="inlineStr">
        <is>
          <t>343</t>
        </is>
      </c>
      <c r="I70" s="13" t="inlineStr"/>
      <c r="J70" s="6" t="n"/>
      <c r="K70" s="14" t="n"/>
      <c r="L70" s="6" t="n"/>
    </row>
    <row r="71">
      <c r="A71" s="12" t="n">
        <v>70</v>
      </c>
      <c r="B71" s="12" t="inlineStr">
        <is>
          <t>保護者</t>
        </is>
      </c>
      <c r="C71" s="13" t="inlineStr">
        <is>
          <t>A-3. 講習の提出ページ</t>
        </is>
      </c>
      <c r="D71" s="12" t="inlineStr">
        <is>
          <t>全教室</t>
        </is>
      </c>
      <c r="E71" s="13" t="inlineStr">
        <is>
          <t>提出に失敗しました。</t>
        </is>
      </c>
      <c r="F71" s="13" t="inlineStr">
        <is>
          <t>送信失敗</t>
        </is>
      </c>
      <c r="G71" s="13" t="inlineStr">
        <is>
          <t>SubmissionPage.tsx / 370</t>
        </is>
      </c>
      <c r="H71" s="12" t="inlineStr">
        <is>
          <t xml:space="preserve">365 / </t>
        </is>
      </c>
      <c r="I71" s="13" t="inlineStr"/>
      <c r="J71" s="6" t="n"/>
      <c r="K71" s="14" t="n"/>
      <c r="L71" s="6" t="n"/>
    </row>
    <row r="72">
      <c r="A72" s="12" t="n">
        <v>71</v>
      </c>
      <c r="B72" s="12" t="inlineStr">
        <is>
          <t>保護者</t>
        </is>
      </c>
      <c r="C72" s="13" t="inlineStr">
        <is>
          <t>A-3. 講習の提出ページ</t>
        </is>
      </c>
      <c r="D72" s="12" t="inlineStr">
        <is>
          <t>全教室</t>
        </is>
      </c>
      <c r="E72" s="13" t="inlineStr">
        <is>
          <t>通信エラーが発生しました。再度お試しください。</t>
        </is>
      </c>
      <c r="F72" s="13" t="inlineStr">
        <is>
          <t>送信失敗</t>
        </is>
      </c>
      <c r="G72" s="13" t="inlineStr">
        <is>
          <t>SubmissionPage.tsx / 370</t>
        </is>
      </c>
      <c r="H72" s="12" t="inlineStr">
        <is>
          <t xml:space="preserve">365 / </t>
        </is>
      </c>
      <c r="I72" s="13" t="inlineStr"/>
      <c r="J72" s="6" t="n"/>
      <c r="K72" s="14" t="n"/>
      <c r="L72" s="6" t="n"/>
    </row>
    <row r="73">
      <c r="A73" s="12" t="n">
        <v>72</v>
      </c>
      <c r="B73" s="12" t="inlineStr">
        <is>
          <t>保護者</t>
        </is>
      </c>
      <c r="C73" s="13" t="inlineStr">
        <is>
          <t>A-3. 講習の提出ページ</t>
        </is>
      </c>
      <c r="D73" s="12" t="inlineStr">
        <is>
          <t>全教室</t>
        </is>
      </c>
      <c r="E73" s="13" t="inlineStr">
        <is>
          <t>提出が完了しました</t>
        </is>
      </c>
      <c r="F73" s="13" t="inlineStr">
        <is>
          <t>完了バナー</t>
        </is>
      </c>
      <c r="G73" s="13" t="inlineStr">
        <is>
          <t>SubmissionPage.tsx</t>
        </is>
      </c>
      <c r="H73" s="12" t="inlineStr">
        <is>
          <t>499</t>
        </is>
      </c>
      <c r="I73" s="13" t="inlineStr"/>
      <c r="J73" s="6" t="n"/>
      <c r="K73" s="14" t="n"/>
      <c r="L73" s="6" t="n"/>
    </row>
    <row r="74">
      <c r="A74" s="12" t="n">
        <v>73</v>
      </c>
      <c r="B74" s="12" t="inlineStr">
        <is>
          <t>保護者</t>
        </is>
      </c>
      <c r="C74" s="13" t="inlineStr">
        <is>
          <t>A-3. 講習の提出ページ</t>
        </is>
      </c>
      <c r="D74" s="12" t="inlineStr">
        <is>
          <t>全教室</t>
        </is>
      </c>
      <c r="E74" s="13" t="inlineStr">
        <is>
          <t>すでに提出済みです</t>
        </is>
      </c>
      <c r="F74" s="13" t="inlineStr">
        <is>
          <t>完了バナー</t>
        </is>
      </c>
      <c r="G74" s="13" t="inlineStr">
        <is>
          <t>SubmissionPage.tsx</t>
        </is>
      </c>
      <c r="H74" s="12" t="inlineStr">
        <is>
          <t>499</t>
        </is>
      </c>
      <c r="I74" s="13" t="inlineStr"/>
      <c r="J74" s="6" t="n"/>
      <c r="K74" s="14" t="n"/>
      <c r="L74" s="6" t="n"/>
    </row>
    <row r="75">
      <c r="A75" s="12" t="n">
        <v>74</v>
      </c>
      <c r="B75" s="12" t="inlineStr">
        <is>
          <t>保護者</t>
        </is>
      </c>
      <c r="C75" s="13" t="inlineStr">
        <is>
          <t>A-3. 講習の提出ページ</t>
        </is>
      </c>
      <c r="D75" s="12" t="inlineStr">
        <is>
          <t>全教室</t>
        </is>
      </c>
      <c r="E75" s="13" t="inlineStr">
        <is>
          <t>以下の内容で提出されています（閲覧のみ・編集はできません）</t>
        </is>
      </c>
      <c r="F75" s="13" t="inlineStr">
        <is>
          <t>完了バナーの補足</t>
        </is>
      </c>
      <c r="G75" s="13" t="inlineStr">
        <is>
          <t>SubmissionPage.tsx</t>
        </is>
      </c>
      <c r="H75" s="12" t="inlineStr">
        <is>
          <t>500</t>
        </is>
      </c>
      <c r="I75" s="13" t="inlineStr"/>
      <c r="J75" s="6" t="n"/>
      <c r="K75" s="14" t="n"/>
      <c r="L75" s="6" t="n"/>
    </row>
    <row r="76">
      <c r="A76" s="12" t="n">
        <v>75</v>
      </c>
      <c r="B76" s="12" t="inlineStr">
        <is>
          <t>保護者</t>
        </is>
      </c>
      <c r="C76" s="13" t="inlineStr">
        <is>
          <t>A-3. 講習の提出ページ</t>
        </is>
      </c>
      <c r="D76" s="12" t="inlineStr">
        <is>
          <t>全教室</t>
        </is>
      </c>
      <c r="E76" s="13" t="inlineStr">
        <is>
          <t>変更が必要な場合は教室にお問い合わせください。</t>
        </is>
      </c>
      <c r="F76" s="13" t="inlineStr">
        <is>
          <t>提出済み画面の下</t>
        </is>
      </c>
      <c r="G76" s="13" t="inlineStr">
        <is>
          <t>SubmissionPage.tsx</t>
        </is>
      </c>
      <c r="H76" s="12" t="inlineStr">
        <is>
          <t>637</t>
        </is>
      </c>
      <c r="I76" s="13" t="inlineStr"/>
      <c r="J76" s="6" t="n"/>
      <c r="K76" s="14" t="n"/>
      <c r="L76" s="6" t="n"/>
    </row>
    <row r="77">
      <c r="A77" s="12" t="n">
        <v>76</v>
      </c>
      <c r="B77" s="12" t="inlineStr">
        <is>
          <t>保護者</t>
        </is>
      </c>
      <c r="C77" s="13" t="inlineStr">
        <is>
          <t>A-3. 講習の提出ページ</t>
        </is>
      </c>
      <c r="D77" s="12" t="inlineStr">
        <is>
          <t>全教室</t>
        </is>
      </c>
      <c r="E77" s="13" t="inlineStr">
        <is>
          <t>※ 通常授業のみ（講習なし）で提出</t>
        </is>
      </c>
      <c r="F77" s="13" t="inlineStr">
        <is>
          <t>提出済み画面の表示</t>
        </is>
      </c>
      <c r="G77" s="13" t="inlineStr">
        <is>
          <t>SubmissionPage.tsx</t>
        </is>
      </c>
      <c r="H77" s="12" t="inlineStr">
        <is>
          <t>593</t>
        </is>
      </c>
      <c r="I77" s="13" t="inlineStr"/>
      <c r="J77" s="6" t="n"/>
      <c r="K77" s="14" t="n"/>
      <c r="L77" s="6" t="n"/>
    </row>
    <row r="78">
      <c r="A78" s="12" t="n">
        <v>77</v>
      </c>
      <c r="B78" s="12" t="inlineStr">
        <is>
          <t>保護者</t>
        </is>
      </c>
      <c r="C78" s="13" t="inlineStr">
        <is>
          <t>A-3. 講習の提出ページ</t>
        </is>
      </c>
      <c r="D78" s="12" t="inlineStr">
        <is>
          <t>全教室</t>
        </is>
      </c>
      <c r="E78" s="13" t="inlineStr">
        <is>
          <t>希望科目はありません。</t>
        </is>
      </c>
      <c r="F78" s="13" t="inlineStr">
        <is>
          <t>提出済み画面</t>
        </is>
      </c>
      <c r="G78" s="13" t="inlineStr">
        <is>
          <t>SubmissionPage.tsx</t>
        </is>
      </c>
      <c r="H78" s="12" t="inlineStr">
        <is>
          <t>590</t>
        </is>
      </c>
      <c r="I78" s="13" t="inlineStr"/>
      <c r="J78" s="6" t="n"/>
      <c r="K78" s="14" t="n"/>
      <c r="L78" s="6" t="n"/>
    </row>
    <row r="79">
      <c r="A79" s="12" t="n">
        <v>78</v>
      </c>
      <c r="B79" s="12" t="inlineStr">
        <is>
          <t>保護者</t>
        </is>
      </c>
      <c r="C79" s="13" t="inlineStr">
        <is>
          <t>A-3. 講習の提出ページ</t>
        </is>
      </c>
      <c r="D79" s="12" t="inlineStr">
        <is>
          <t>全教室</t>
        </is>
      </c>
      <c r="E79" s="13" t="inlineStr"/>
      <c r="F79" s="13" t="inlineStr">
        <is>
          <t>#/submit-debug を開いたときだけ。通常のQRからは出ない</t>
        </is>
      </c>
      <c r="G79" s="13" t="inlineStr">
        <is>
          <t>SubmissionPage.tsx</t>
        </is>
      </c>
      <c r="H79" s="12" t="inlineStr">
        <is>
          <t>419–448</t>
        </is>
      </c>
      <c r="I79" s="15" t="inlineStr">
        <is>
          <t>`幅(width)` `無補正` `値をコピー` … 実機デバッグパネル</t>
        </is>
      </c>
      <c r="J79" s="6" t="n"/>
      <c r="K79" s="14" t="n"/>
      <c r="L79" s="6" t="n"/>
    </row>
    <row r="80">
      <c r="A80" s="16" t="n">
        <v>79</v>
      </c>
      <c r="B80" s="16" t="inlineStr">
        <is>
          <t>保護者</t>
        </is>
      </c>
      <c r="C80" s="5" t="inlineStr">
        <is>
          <t>A-4. 生徒日程表の紙</t>
        </is>
      </c>
      <c r="D80" s="16" t="inlineStr">
        <is>
          <t>全教室</t>
        </is>
      </c>
      <c r="E80" s="5" t="inlineStr">
        <is>
          <t>授業日程表</t>
        </is>
      </c>
      <c r="F80" s="5" t="inlineStr">
        <is>
          <t>印刷ヘッダー</t>
        </is>
      </c>
      <c r="G80" s="5" t="inlineStr">
        <is>
          <t>scheduleHtml.ts</t>
        </is>
      </c>
      <c r="H80" s="16" t="inlineStr">
        <is>
          <t>6292</t>
        </is>
      </c>
      <c r="I80" s="5" t="inlineStr"/>
      <c r="J80" s="6" t="n"/>
      <c r="K80" s="14" t="n"/>
      <c r="L80" s="6" t="n"/>
    </row>
    <row r="81">
      <c r="A81" s="16" t="n">
        <v>80</v>
      </c>
      <c r="B81" s="16" t="inlineStr">
        <is>
          <t>保護者</t>
        </is>
      </c>
      <c r="C81" s="5" t="inlineStr">
        <is>
          <t>A-4. 生徒日程表の紙</t>
        </is>
      </c>
      <c r="D81" s="16" t="inlineStr">
        <is>
          <t>全教室</t>
        </is>
      </c>
      <c r="E81" s="5" t="inlineStr">
        <is>
          <t>共通連絡事項</t>
        </is>
      </c>
      <c r="F81" s="5" t="inlineStr">
        <is>
          <t>連絡事項欄の見出し</t>
        </is>
      </c>
      <c r="G81" s="5" t="inlineStr">
        <is>
          <t>scheduleHtml.ts</t>
        </is>
      </c>
      <c r="H81" s="16" t="inlineStr">
        <is>
          <t>5485–5486</t>
        </is>
      </c>
      <c r="I81" s="5" t="inlineStr"/>
      <c r="J81" s="6" t="n"/>
      <c r="K81" s="14" t="n"/>
      <c r="L81" s="6" t="n"/>
    </row>
    <row r="82">
      <c r="A82" s="16" t="n">
        <v>81</v>
      </c>
      <c r="B82" s="16" t="inlineStr">
        <is>
          <t>保護者</t>
        </is>
      </c>
      <c r="C82" s="5" t="inlineStr">
        <is>
          <t>A-4. 生徒日程表の紙</t>
        </is>
      </c>
      <c r="D82" s="16" t="inlineStr">
        <is>
          <t>全教室</t>
        </is>
      </c>
      <c r="E82" s="5" t="inlineStr">
        <is>
          <t>個別連絡事項</t>
        </is>
      </c>
      <c r="F82" s="5" t="inlineStr">
        <is>
          <t>連絡事項欄の見出し</t>
        </is>
      </c>
      <c r="G82" s="5" t="inlineStr">
        <is>
          <t>scheduleHtml.ts</t>
        </is>
      </c>
      <c r="H82" s="16" t="inlineStr">
        <is>
          <t>5485–5486</t>
        </is>
      </c>
      <c r="I82" s="5" t="inlineStr"/>
      <c r="J82" s="6" t="n"/>
      <c r="K82" s="14" t="n"/>
      <c r="L82" s="6" t="n"/>
    </row>
    <row r="83">
      <c r="A83" s="16" t="n">
        <v>82</v>
      </c>
      <c r="B83" s="16" t="inlineStr">
        <is>
          <t>保護者</t>
        </is>
      </c>
      <c r="C83" s="5" t="inlineStr">
        <is>
          <t>A-4. 生徒日程表の紙</t>
        </is>
      </c>
      <c r="D83" s="16" t="inlineStr">
        <is>
          <t>全教室</t>
        </is>
      </c>
      <c r="E83" s="5" t="inlineStr">
        <is>
          <t>予定数と一致していません！</t>
        </is>
      </c>
      <c r="F83" s="5" t="inlineStr">
        <is>
          <t>通常回数表の警告スタンプ（画面のみ・印刷では非表示）</t>
        </is>
      </c>
      <c r="G83" s="5" t="inlineStr">
        <is>
          <t>scheduleHtml.ts</t>
        </is>
      </c>
      <c r="H83" s="16" t="inlineStr">
        <is>
          <t>6234</t>
        </is>
      </c>
      <c r="I83" s="5" t="inlineStr"/>
      <c r="J83" s="6" t="n"/>
      <c r="K83" s="14" t="n"/>
      <c r="L83" s="6" t="n"/>
    </row>
    <row r="84">
      <c r="A84" s="16" t="n">
        <v>83</v>
      </c>
      <c r="B84" s="16" t="inlineStr">
        <is>
          <t>保護者</t>
        </is>
      </c>
      <c r="C84" s="5" t="inlineStr">
        <is>
          <t>A-4. 生徒日程表の紙</t>
        </is>
      </c>
      <c r="D84" s="16" t="inlineStr">
        <is>
          <t>全教室</t>
        </is>
      </c>
      <c r="E84" s="5" t="inlineStr">
        <is>
          <t>希望数と一致していません！</t>
        </is>
      </c>
      <c r="F84" s="5" t="inlineStr">
        <is>
          <t>講習回数表の警告スタンプ（同上）</t>
        </is>
      </c>
      <c r="G84" s="5" t="inlineStr">
        <is>
          <t>scheduleHtml.ts</t>
        </is>
      </c>
      <c r="H84" s="16" t="inlineStr">
        <is>
          <t>6237</t>
        </is>
      </c>
      <c r="I84" s="5" t="inlineStr"/>
      <c r="J84" s="6" t="n"/>
      <c r="K84" s="14" t="n"/>
      <c r="L84" s="6" t="n"/>
    </row>
    <row r="85">
      <c r="A85" s="12" t="n">
        <v>84</v>
      </c>
      <c r="B85" s="12" t="inlineStr">
        <is>
          <t>保護者</t>
        </is>
      </c>
      <c r="C85" s="13" t="inlineStr">
        <is>
          <t>A-5. 配布用盤面</t>
        </is>
      </c>
      <c r="D85" s="12" t="inlineStr">
        <is>
          <t>全教室</t>
        </is>
      </c>
      <c r="E85" s="13" t="inlineStr">
        <is>
          <t>配布用盤面を読み込んでいます。</t>
        </is>
      </c>
      <c r="F85" s="13" t="inlineStr">
        <is>
          <t>読み込み中</t>
        </is>
      </c>
      <c r="G85" s="13" t="inlineStr">
        <is>
          <t>BoardShareScreen.tsx</t>
        </is>
      </c>
      <c r="H85" s="12" t="inlineStr">
        <is>
          <t>147</t>
        </is>
      </c>
      <c r="I85" s="13" t="inlineStr"/>
      <c r="J85" s="6" t="n"/>
      <c r="K85" s="14" t="n"/>
      <c r="L85" s="6" t="n"/>
    </row>
    <row r="86">
      <c r="A86" s="12" t="n">
        <v>85</v>
      </c>
      <c r="B86" s="12" t="inlineStr">
        <is>
          <t>保護者</t>
        </is>
      </c>
      <c r="C86" s="13" t="inlineStr">
        <is>
          <t>A-5. 配布用盤面</t>
        </is>
      </c>
      <c r="D86" s="12" t="inlineStr">
        <is>
          <t>全教室</t>
        </is>
      </c>
      <c r="E86" s="13" t="inlineStr">
        <is>
          <t>配布用盤面の読み込みに時間がかかっています。通信状態を確認してください。</t>
        </is>
      </c>
      <c r="F86" s="13" t="inlineStr">
        <is>
          <t>読み込みが遅いとき</t>
        </is>
      </c>
      <c r="G86" s="13" t="inlineStr">
        <is>
          <t>BoardShareScreen.tsx</t>
        </is>
      </c>
      <c r="H86" s="12" t="inlineStr">
        <is>
          <t>175</t>
        </is>
      </c>
      <c r="I86" s="13" t="inlineStr"/>
      <c r="J86" s="6" t="n"/>
      <c r="K86" s="14" t="n"/>
      <c r="L86" s="6" t="n"/>
    </row>
    <row r="87">
      <c r="A87" s="12" t="n">
        <v>86</v>
      </c>
      <c r="B87" s="12" t="inlineStr">
        <is>
          <t>保護者</t>
        </is>
      </c>
      <c r="C87" s="13" t="inlineStr">
        <is>
          <t>A-5. 配布用盤面</t>
        </is>
      </c>
      <c r="D87" s="12" t="inlineStr">
        <is>
          <t>全教室</t>
        </is>
      </c>
      <c r="E87" s="13" t="inlineStr">
        <is>
          <t>配布用盤面が見つかりませんでした。URLを確認してください。</t>
        </is>
      </c>
      <c r="F87" s="13" t="inlineStr">
        <is>
          <t>URLが違う</t>
        </is>
      </c>
      <c r="G87" s="13" t="inlineStr">
        <is>
          <t>BoardShareScreen.tsx</t>
        </is>
      </c>
      <c r="H87" s="12" t="inlineStr">
        <is>
          <t>192</t>
        </is>
      </c>
      <c r="I87" s="13" t="inlineStr"/>
      <c r="J87" s="6" t="n"/>
      <c r="K87" s="14" t="n"/>
      <c r="L87" s="6" t="n"/>
    </row>
    <row r="88">
      <c r="A88" s="12" t="n">
        <v>87</v>
      </c>
      <c r="B88" s="12" t="inlineStr">
        <is>
          <t>保護者</t>
        </is>
      </c>
      <c r="C88" s="13" t="inlineStr">
        <is>
          <t>A-5. 配布用盤面</t>
        </is>
      </c>
      <c r="D88" s="12" t="inlineStr">
        <is>
          <t>全教室</t>
        </is>
      </c>
      <c r="E88" s="13" t="inlineStr">
        <is>
          <t>配布用盤面の読み込みに失敗しました。</t>
        </is>
      </c>
      <c r="F88" s="13" t="inlineStr">
        <is>
          <t>失敗</t>
        </is>
      </c>
      <c r="G88" s="13" t="inlineStr">
        <is>
          <t>BoardShareScreen.tsx</t>
        </is>
      </c>
      <c r="H88" s="12" t="inlineStr">
        <is>
          <t>200</t>
        </is>
      </c>
      <c r="I88" s="13" t="inlineStr"/>
      <c r="J88" s="6" t="n"/>
      <c r="K88" s="14" t="n"/>
      <c r="L88" s="6" t="n"/>
    </row>
    <row r="89">
      <c r="A89" s="12" t="n">
        <v>88</v>
      </c>
      <c r="B89" s="12" t="inlineStr">
        <is>
          <t>保護者</t>
        </is>
      </c>
      <c r="C89" s="13" t="inlineStr">
        <is>
          <t>A-5. 配布用盤面</t>
        </is>
      </c>
      <c r="D89" s="12" t="inlineStr">
        <is>
          <t>全教室</t>
        </is>
      </c>
      <c r="E89" s="13" t="inlineStr">
        <is>
          <t>この日の盤面は配布データに含まれていません。</t>
        </is>
      </c>
      <c r="F89" s="13" t="inlineStr">
        <is>
          <t>配布範囲外の日</t>
        </is>
      </c>
      <c r="G89" s="13" t="inlineStr">
        <is>
          <t>BoardShareScreen.tsx</t>
        </is>
      </c>
      <c r="H89" s="12" t="inlineStr">
        <is>
          <t>324</t>
        </is>
      </c>
      <c r="I89" s="13" t="inlineStr"/>
      <c r="J89" s="6" t="n"/>
      <c r="K89" s="14" t="n"/>
      <c r="L89" s="6" t="n"/>
    </row>
    <row r="90">
      <c r="A90" s="12" t="n">
        <v>89</v>
      </c>
      <c r="B90" s="12" t="inlineStr">
        <is>
          <t>保護者</t>
        </is>
      </c>
      <c r="C90" s="13" t="inlineStr">
        <is>
          <t>A-5. 配布用盤面</t>
        </is>
      </c>
      <c r="D90" s="12" t="inlineStr">
        <is>
          <t>全教室</t>
        </is>
      </c>
      <c r="E90" s="13" t="inlineStr">
        <is>
          <t>配布用URLが正しくありません。</t>
        </is>
      </c>
      <c r="F90" s="13" t="inlineStr">
        <is>
          <t>URLの形が不正</t>
        </is>
      </c>
      <c r="G90" s="13" t="inlineStr">
        <is>
          <t>src / share-main.tsx</t>
        </is>
      </c>
      <c r="H90" s="12" t="inlineStr">
        <is>
          <t xml:space="preserve"> / 25</t>
        </is>
      </c>
      <c r="I90" s="13" t="inlineStr"/>
      <c r="J90" s="6" t="n"/>
      <c r="K90" s="14" t="n"/>
      <c r="L90" s="6" t="n"/>
    </row>
    <row r="91">
      <c r="A91" s="12" t="n">
        <v>90</v>
      </c>
      <c r="B91" s="12" t="inlineStr">
        <is>
          <t>保護者</t>
        </is>
      </c>
      <c r="C91" s="13" t="inlineStr">
        <is>
          <t>A-5. 配布用盤面</t>
        </is>
      </c>
      <c r="D91" s="12" t="inlineStr">
        <is>
          <t>全教室</t>
        </is>
      </c>
      <c r="E91" s="13" t="inlineStr">
        <is>
          <t>このブラウザは配布用盤面の圧縮データ読込に未対応です。最新の Chrome / Edge …</t>
        </is>
      </c>
      <c r="F91" s="13" t="inlineStr">
        <is>
          <t>古いブラウザ</t>
        </is>
      </c>
      <c r="G91" s="13" t="inlineStr">
        <is>
          <t>src / integrations / firebase / boardShare.ts</t>
        </is>
      </c>
      <c r="H91" s="12" t="inlineStr">
        <is>
          <t xml:space="preserve"> /  /  / 112</t>
        </is>
      </c>
      <c r="I91" s="15" t="inlineStr">
        <is>
          <t>技術寄り</t>
        </is>
      </c>
      <c r="J91" s="6" t="n"/>
      <c r="K91" s="14" t="n"/>
      <c r="L91" s="6" t="n"/>
    </row>
    <row r="92">
      <c r="A92" s="16" t="n">
        <v>91</v>
      </c>
      <c r="B92" s="16" t="inlineStr">
        <is>
          <t>室長</t>
        </is>
      </c>
      <c r="C92" s="5" t="inlineStr">
        <is>
          <t>B-1. ログイン・起動・保存まわり（</t>
        </is>
      </c>
      <c r="D92" s="16" t="inlineStr">
        <is>
          <t>全教室</t>
        </is>
      </c>
      <c r="E92" s="5" t="inlineStr"/>
      <c r="F92" s="5" t="inlineStr">
        <is>
          <t>ローカルログイン画面の説明</t>
        </is>
      </c>
      <c r="G92" s="5" t="inlineStr">
        <is>
          <t>App.tsx</t>
        </is>
      </c>
      <c r="H92" s="16" t="inlineStr">
        <is>
          <t>5712</t>
        </is>
      </c>
      <c r="I92" s="15" t="inlineStr">
        <is>
          <t>`認証方式をまだ確定していないため、いまは画面操作の確認用にローカルアカウントを選んで入ります。`</t>
        </is>
      </c>
      <c r="J92" s="6" t="n"/>
      <c r="K92" s="14" t="n"/>
      <c r="L92" s="6" t="n"/>
    </row>
    <row r="93">
      <c r="A93" s="16" t="n">
        <v>92</v>
      </c>
      <c r="B93" s="16" t="inlineStr">
        <is>
          <t>室長</t>
        </is>
      </c>
      <c r="C93" s="5" t="inlineStr">
        <is>
          <t>B-1. ログイン・起動・保存まわり（</t>
        </is>
      </c>
      <c r="D93" s="16" t="inlineStr">
        <is>
          <t>全教室</t>
        </is>
      </c>
      <c r="E93" s="5" t="inlineStr">
        <is>
          <t>画面を準備しています。</t>
        </is>
      </c>
      <c r="F93" s="5" t="inlineStr">
        <is>
          <t>画面の読み込み中</t>
        </is>
      </c>
      <c r="G93" s="5" t="inlineStr">
        <is>
          <t>App.tsx</t>
        </is>
      </c>
      <c r="H93" s="16" t="inlineStr">
        <is>
          <t>88</t>
        </is>
      </c>
      <c r="I93" s="5" t="inlineStr"/>
      <c r="J93" s="6" t="n"/>
      <c r="K93" s="14" t="n"/>
      <c r="L93" s="6" t="n"/>
    </row>
    <row r="94">
      <c r="A94" s="16" t="n">
        <v>93</v>
      </c>
      <c r="B94" s="16" t="inlineStr">
        <is>
          <t>室長</t>
        </is>
      </c>
      <c r="C94" s="5" t="inlineStr">
        <is>
          <t>B-1. ログイン・起動・保存まわり（</t>
        </is>
      </c>
      <c r="D94" s="16" t="inlineStr">
        <is>
          <t>全教室</t>
        </is>
      </c>
      <c r="E94" s="5" t="inlineStr">
        <is>
          <t>教室ワークスペースを準備しています。</t>
        </is>
      </c>
      <c r="F94" s="5" t="inlineStr">
        <is>
          <t>起動直後</t>
        </is>
      </c>
      <c r="G94" s="5" t="inlineStr">
        <is>
          <t>App.tsx</t>
        </is>
      </c>
      <c r="H94" s="16" t="inlineStr">
        <is>
          <t>5659</t>
        </is>
      </c>
      <c r="I94" s="15" t="inlineStr">
        <is>
          <t>「ワークスペース」は内部用語</t>
        </is>
      </c>
      <c r="J94" s="6" t="n"/>
      <c r="K94" s="14" t="n"/>
      <c r="L94" s="6" t="n"/>
    </row>
    <row r="95">
      <c r="A95" s="16" t="n">
        <v>94</v>
      </c>
      <c r="B95" s="16" t="inlineStr">
        <is>
          <t>室長</t>
        </is>
      </c>
      <c r="C95" s="5" t="inlineStr">
        <is>
          <t>B-1. ログイン・起動・保存まわり（</t>
        </is>
      </c>
      <c r="D95" s="16" t="inlineStr">
        <is>
          <t>全教室</t>
        </is>
      </c>
      <c r="E95" s="5" t="inlineStr">
        <is>
          <t>保存データを確認しています。</t>
        </is>
      </c>
      <c r="F95" s="5" t="inlineStr">
        <is>
          <t>起動直後のステータス</t>
        </is>
      </c>
      <c r="G95" s="5" t="inlineStr">
        <is>
          <t>App.tsx</t>
        </is>
      </c>
      <c r="H95" s="16" t="inlineStr">
        <is>
          <t>1455</t>
        </is>
      </c>
      <c r="I95" s="5" t="inlineStr"/>
      <c r="J95" s="6" t="n"/>
      <c r="K95" s="14" t="n"/>
      <c r="L95" s="6" t="n"/>
    </row>
    <row r="96">
      <c r="A96" s="16" t="n">
        <v>95</v>
      </c>
      <c r="B96" s="16" t="inlineStr">
        <is>
          <t>室長</t>
        </is>
      </c>
      <c r="C96" s="5" t="inlineStr">
        <is>
          <t>B-1. ログイン・起動・保存まわり（</t>
        </is>
      </c>
      <c r="D96" s="16" t="inlineStr">
        <is>
          <t>全教室</t>
        </is>
      </c>
      <c r="E96" s="5" t="inlineStr">
        <is>
          <t>このタブは利用できません</t>
        </is>
      </c>
      <c r="F96" s="5" t="inlineStr">
        <is>
          <t>二重タブ時の全面表示</t>
        </is>
      </c>
      <c r="G96" s="5" t="inlineStr">
        <is>
          <t>App.tsx</t>
        </is>
      </c>
      <c r="H96" s="16" t="inlineStr">
        <is>
          <t>5666–5669</t>
        </is>
      </c>
      <c r="I96" s="5" t="inlineStr"/>
      <c r="J96" s="6" t="n"/>
      <c r="K96" s="14" t="n"/>
      <c r="L96" s="6" t="n"/>
    </row>
    <row r="97">
      <c r="A97" s="16" t="n">
        <v>96</v>
      </c>
      <c r="B97" s="16" t="inlineStr">
        <is>
          <t>室長</t>
        </is>
      </c>
      <c r="C97" s="5" t="inlineStr">
        <is>
          <t>B-1. ログイン・起動・保存まわり（</t>
        </is>
      </c>
      <c r="D97" s="16" t="inlineStr">
        <is>
          <t>全教室</t>
        </is>
      </c>
      <c r="E97" s="5" t="inlineStr">
        <is>
          <t>同じ教室を既に別のタブまたはウィンドウで開いています。</t>
        </is>
      </c>
      <c r="F97" s="5" t="inlineStr">
        <is>
          <t>二重タブ時の全面表示</t>
        </is>
      </c>
      <c r="G97" s="5" t="inlineStr">
        <is>
          <t>App.tsx</t>
        </is>
      </c>
      <c r="H97" s="16" t="inlineStr">
        <is>
          <t>5666–5669</t>
        </is>
      </c>
      <c r="I97" s="5" t="inlineStr"/>
      <c r="J97" s="6" t="n"/>
      <c r="K97" s="14" t="n"/>
      <c r="L97" s="6" t="n"/>
    </row>
    <row r="98">
      <c r="A98" s="16" t="n">
        <v>97</v>
      </c>
      <c r="B98" s="16" t="inlineStr">
        <is>
          <t>室長</t>
        </is>
      </c>
      <c r="C98" s="5" t="inlineStr">
        <is>
          <t>B-1. ログイン・起動・保存まわり（</t>
        </is>
      </c>
      <c r="D98" s="16" t="inlineStr">
        <is>
          <t>全教室</t>
        </is>
      </c>
      <c r="E98" s="5" t="inlineStr">
        <is>
          <t>データの整合性を保つため、コマ表アプリは教室ごとに 1 タブのみで利用できます。</t>
        </is>
      </c>
      <c r="F98" s="5" t="inlineStr">
        <is>
          <t>二重タブ時の全面表示</t>
        </is>
      </c>
      <c r="G98" s="5" t="inlineStr">
        <is>
          <t>App.tsx</t>
        </is>
      </c>
      <c r="H98" s="16" t="inlineStr">
        <is>
          <t>5666–5669</t>
        </is>
      </c>
      <c r="I98" s="5" t="inlineStr"/>
      <c r="J98" s="6" t="n"/>
      <c r="K98" s="14" t="n"/>
      <c r="L98" s="6" t="n"/>
    </row>
    <row r="99">
      <c r="A99" s="16" t="n">
        <v>98</v>
      </c>
      <c r="B99" s="16" t="inlineStr">
        <is>
          <t>室長</t>
        </is>
      </c>
      <c r="C99" s="5" t="inlineStr">
        <is>
          <t>B-1. ログイン・起動・保存まわり（</t>
        </is>
      </c>
      <c r="D99" s="16" t="inlineStr">
        <is>
          <t>全教室</t>
        </is>
      </c>
      <c r="E99" s="5" t="inlineStr">
        <is>
          <t>先に開いているタブを閉じてから、このページを再読み込みしてください。</t>
        </is>
      </c>
      <c r="F99" s="5" t="inlineStr">
        <is>
          <t>二重タブ時の全面表示</t>
        </is>
      </c>
      <c r="G99" s="5" t="inlineStr">
        <is>
          <t>App.tsx</t>
        </is>
      </c>
      <c r="H99" s="16" t="inlineStr">
        <is>
          <t>5666–5669</t>
        </is>
      </c>
      <c r="I99" s="5" t="inlineStr"/>
      <c r="J99" s="6" t="n"/>
      <c r="K99" s="14" t="n"/>
      <c r="L99" s="6" t="n"/>
    </row>
    <row r="100">
      <c r="A100" s="16" t="n">
        <v>99</v>
      </c>
      <c r="B100" s="16" t="inlineStr">
        <is>
          <t>室長</t>
        </is>
      </c>
      <c r="C100" s="5" t="inlineStr">
        <is>
          <t>B-1. ログイン・起動・保存まわり（</t>
        </is>
      </c>
      <c r="D100" s="16" t="inlineStr">
        <is>
          <t>全教室</t>
        </is>
      </c>
      <c r="E100" s="5" t="inlineStr">
        <is>
          <t>メールアドレスとパスワードを入力してください。</t>
        </is>
      </c>
      <c r="F100" s="5" t="inlineStr">
        <is>
          <t>ログイン</t>
        </is>
      </c>
      <c r="G100" s="5" t="inlineStr">
        <is>
          <t>App.tsx</t>
        </is>
      </c>
      <c r="H100" s="16" t="inlineStr">
        <is>
          <t>3451</t>
        </is>
      </c>
      <c r="I100" s="5" t="inlineStr"/>
      <c r="J100" s="6" t="n"/>
      <c r="K100" s="14" t="n"/>
      <c r="L100" s="6" t="n"/>
    </row>
    <row r="101">
      <c r="A101" s="16" t="n">
        <v>100</v>
      </c>
      <c r="B101" s="16" t="inlineStr">
        <is>
          <t>室長</t>
        </is>
      </c>
      <c r="C101" s="5" t="inlineStr">
        <is>
          <t>B-1. ログイン・起動・保存まわり（</t>
        </is>
      </c>
      <c r="D101" s="16" t="inlineStr">
        <is>
          <t>全教室</t>
        </is>
      </c>
      <c r="E101" s="5" t="inlineStr">
        <is>
          <t>Firebase へログインしました。ワークスペースを読み込みます。</t>
        </is>
      </c>
      <c r="F101" s="5" t="inlineStr">
        <is>
          <t>ログイン成功</t>
        </is>
      </c>
      <c r="G101" s="5" t="inlineStr">
        <is>
          <t>App.tsx</t>
        </is>
      </c>
      <c r="H101" s="16" t="inlineStr">
        <is>
          <t>3460</t>
        </is>
      </c>
      <c r="I101" s="15" t="inlineStr">
        <is>
          <t>要確認</t>
        </is>
      </c>
      <c r="J101" s="6" t="n"/>
      <c r="K101" s="14" t="n"/>
      <c r="L101" s="6" t="n"/>
    </row>
    <row r="102">
      <c r="A102" s="16" t="n">
        <v>101</v>
      </c>
      <c r="B102" s="16" t="inlineStr">
        <is>
          <t>室長</t>
        </is>
      </c>
      <c r="C102" s="5" t="inlineStr">
        <is>
          <t>B-1. ログイン・起動・保存まわり（</t>
        </is>
      </c>
      <c r="D102" s="16" t="inlineStr">
        <is>
          <t>全教室</t>
        </is>
      </c>
      <c r="E102" s="5" t="inlineStr">
        <is>
          <t>Firebase ログインに失敗しました。</t>
        </is>
      </c>
      <c r="F102" s="5" t="inlineStr">
        <is>
          <t>ログイン失敗</t>
        </is>
      </c>
      <c r="G102" s="5" t="inlineStr">
        <is>
          <t>App.tsx</t>
        </is>
      </c>
      <c r="H102" s="16" t="inlineStr">
        <is>
          <t>3463</t>
        </is>
      </c>
      <c r="I102" s="15" t="inlineStr">
        <is>
          <t>要確認</t>
        </is>
      </c>
      <c r="J102" s="6" t="n"/>
      <c r="K102" s="14" t="n"/>
      <c r="L102" s="6" t="n"/>
    </row>
    <row r="103">
      <c r="A103" s="16" t="n">
        <v>102</v>
      </c>
      <c r="B103" s="16" t="inlineStr">
        <is>
          <t>室長</t>
        </is>
      </c>
      <c r="C103" s="5" t="inlineStr">
        <is>
          <t>B-1. ログイン・起動・保存まわり（</t>
        </is>
      </c>
      <c r="D103" s="16" t="inlineStr">
        <is>
          <t>全教室</t>
        </is>
      </c>
      <c r="E103" s="5" t="inlineStr">
        <is>
          <t>◯◯ にパスワードリセットメールを送信しました。メール内のリンクから再設定してください。</t>
        </is>
      </c>
      <c r="F103" s="5" t="inlineStr">
        <is>
          <t>パスワード再設定</t>
        </is>
      </c>
      <c r="G103" s="5" t="inlineStr">
        <is>
          <t>App.tsx</t>
        </is>
      </c>
      <c r="H103" s="16" t="inlineStr">
        <is>
          <t>3478</t>
        </is>
      </c>
      <c r="I103" s="5" t="inlineStr"/>
      <c r="J103" s="6" t="n"/>
      <c r="K103" s="14" t="n"/>
      <c r="L103" s="6" t="n"/>
    </row>
    <row r="104">
      <c r="A104" s="16" t="n">
        <v>103</v>
      </c>
      <c r="B104" s="16" t="inlineStr">
        <is>
          <t>室長</t>
        </is>
      </c>
      <c r="C104" s="5" t="inlineStr">
        <is>
          <t>B-1. ログイン・起動・保存まわり（</t>
        </is>
      </c>
      <c r="D104" s="16" t="inlineStr">
        <is>
          <t>全教室</t>
        </is>
      </c>
      <c r="E104" s="5" t="inlineStr">
        <is>
          <t>パスワードリセットメールの送信に失敗しました。</t>
        </is>
      </c>
      <c r="F104" s="5" t="inlineStr">
        <is>
          <t>同上</t>
        </is>
      </c>
      <c r="G104" s="5" t="inlineStr">
        <is>
          <t>App.tsx</t>
        </is>
      </c>
      <c r="H104" s="16" t="inlineStr">
        <is>
          <t>3480</t>
        </is>
      </c>
      <c r="I104" s="5" t="inlineStr"/>
      <c r="J104" s="6" t="n"/>
      <c r="K104" s="14" t="n"/>
      <c r="L104" s="6" t="n"/>
    </row>
    <row r="105">
      <c r="A105" s="16" t="n">
        <v>104</v>
      </c>
      <c r="B105" s="16" t="inlineStr">
        <is>
          <t>室長</t>
        </is>
      </c>
      <c r="C105" s="5" t="inlineStr">
        <is>
          <t>B-1. ログイン・起動・保存まわり（</t>
        </is>
      </c>
      <c r="D105" s="16" t="inlineStr">
        <is>
          <t>全教室</t>
        </is>
      </c>
      <c r="E105" s="5" t="inlineStr">
        <is>
          <t>Firebase からログアウトしました。</t>
        </is>
      </c>
      <c r="F105" s="5" t="inlineStr">
        <is>
          <t>ログアウト</t>
        </is>
      </c>
      <c r="G105" s="5" t="inlineStr">
        <is>
          <t>App.tsx / 3527</t>
        </is>
      </c>
      <c r="H105" s="16" t="inlineStr">
        <is>
          <t xml:space="preserve">3516 / </t>
        </is>
      </c>
      <c r="I105" s="15" t="inlineStr">
        <is>
          <t>要確認</t>
        </is>
      </c>
      <c r="J105" s="6" t="n"/>
      <c r="K105" s="14" t="n"/>
      <c r="L105" s="6" t="n"/>
    </row>
    <row r="106">
      <c r="A106" s="16" t="n">
        <v>105</v>
      </c>
      <c r="B106" s="16" t="inlineStr">
        <is>
          <t>室長</t>
        </is>
      </c>
      <c r="C106" s="5" t="inlineStr">
        <is>
          <t>B-1. ログイン・起動・保存まわり（</t>
        </is>
      </c>
      <c r="D106" s="16" t="inlineStr">
        <is>
          <t>全教室</t>
        </is>
      </c>
      <c r="E106" s="5" t="inlineStr">
        <is>
          <t>ログアウトしました。</t>
        </is>
      </c>
      <c r="F106" s="5" t="inlineStr">
        <is>
          <t>ログアウト</t>
        </is>
      </c>
      <c r="G106" s="5" t="inlineStr">
        <is>
          <t>App.tsx / 3527</t>
        </is>
      </c>
      <c r="H106" s="16" t="inlineStr">
        <is>
          <t xml:space="preserve">3516 / </t>
        </is>
      </c>
      <c r="I106" s="15" t="inlineStr">
        <is>
          <t>要確認</t>
        </is>
      </c>
      <c r="J106" s="6" t="n"/>
      <c r="K106" s="14" t="n"/>
      <c r="L106" s="6" t="n"/>
    </row>
    <row r="107">
      <c r="A107" s="16" t="n">
        <v>106</v>
      </c>
      <c r="B107" s="16" t="inlineStr">
        <is>
          <t>室長</t>
        </is>
      </c>
      <c r="C107" s="5" t="inlineStr">
        <is>
          <t>B-1. ログイン・起動・保存まわり（</t>
        </is>
      </c>
      <c r="D107" s="16" t="inlineStr">
        <is>
          <t>全教室</t>
        </is>
      </c>
      <c r="E107" s="5" t="inlineStr">
        <is>
          <t>保存しました。</t>
        </is>
      </c>
      <c r="F107" s="5" t="inlineStr">
        <is>
          <t>保存完了</t>
        </is>
      </c>
      <c r="G107" s="5" t="inlineStr">
        <is>
          <t>App.tsx / 4900</t>
        </is>
      </c>
      <c r="H107" s="16" t="inlineStr">
        <is>
          <t xml:space="preserve">3599 / </t>
        </is>
      </c>
      <c r="I107" s="5" t="inlineStr"/>
      <c r="J107" s="6" t="n"/>
      <c r="K107" s="14" t="n"/>
      <c r="L107" s="6" t="n"/>
    </row>
    <row r="108">
      <c r="A108" s="16" t="n">
        <v>107</v>
      </c>
      <c r="B108" s="16" t="inlineStr">
        <is>
          <t>室長</t>
        </is>
      </c>
      <c r="C108" s="5" t="inlineStr">
        <is>
          <t>B-1. ログイン・起動・保存まわり（</t>
        </is>
      </c>
      <c r="D108" s="16" t="inlineStr">
        <is>
          <t>全教室</t>
        </is>
      </c>
      <c r="E108" s="5" t="inlineStr">
        <is>
          <t>自動保存しました。</t>
        </is>
      </c>
      <c r="F108" s="5" t="inlineStr">
        <is>
          <t>保存完了</t>
        </is>
      </c>
      <c r="G108" s="5" t="inlineStr">
        <is>
          <t>App.tsx / 4900</t>
        </is>
      </c>
      <c r="H108" s="16" t="inlineStr">
        <is>
          <t xml:space="preserve">3599 / </t>
        </is>
      </c>
      <c r="I108" s="5" t="inlineStr"/>
      <c r="J108" s="6" t="n"/>
      <c r="K108" s="14" t="n"/>
      <c r="L108" s="6" t="n"/>
    </row>
    <row r="109">
      <c r="A109" s="16" t="n">
        <v>108</v>
      </c>
      <c r="B109" s="16" t="inlineStr">
        <is>
          <t>室長</t>
        </is>
      </c>
      <c r="C109" s="5" t="inlineStr">
        <is>
          <t>B-1. ログイン・起動・保存まわり（</t>
        </is>
      </c>
      <c r="D109" s="16" t="inlineStr">
        <is>
          <t>全教室</t>
        </is>
      </c>
      <c r="E109" s="5" t="inlineStr">
        <is>
          <t>ブラウザへ保存中</t>
        </is>
      </c>
      <c r="F109" s="5" t="inlineStr">
        <is>
          <t>保存中の進捗バー</t>
        </is>
      </c>
      <c r="G109" s="5" t="inlineStr">
        <is>
          <t>App.tsx / 2247 / 2288 / 2299 / 2366</t>
        </is>
      </c>
      <c r="H109" s="16" t="inlineStr">
        <is>
          <t xml:space="preserve">3537 /  /  /  / </t>
        </is>
      </c>
      <c r="I109" s="15" t="inlineStr">
        <is>
          <t>要確認</t>
        </is>
      </c>
      <c r="J109" s="6" t="n"/>
      <c r="K109" s="14" t="n"/>
      <c r="L109" s="6" t="n"/>
    </row>
    <row r="110">
      <c r="A110" s="16" t="n">
        <v>109</v>
      </c>
      <c r="B110" s="16" t="inlineStr">
        <is>
          <t>室長</t>
        </is>
      </c>
      <c r="C110" s="5" t="inlineStr">
        <is>
          <t>B-1. ログイン・起動・保存まわり（</t>
        </is>
      </c>
      <c r="D110" s="16" t="inlineStr">
        <is>
          <t>全教室</t>
        </is>
      </c>
      <c r="E110" s="5" t="inlineStr">
        <is>
          <t>データベースへ保存準備中</t>
        </is>
      </c>
      <c r="F110" s="5" t="inlineStr">
        <is>
          <t>保存中の進捗バー</t>
        </is>
      </c>
      <c r="G110" s="5" t="inlineStr">
        <is>
          <t>App.tsx / 2247 / 2288 / 2299 / 2366</t>
        </is>
      </c>
      <c r="H110" s="16" t="inlineStr">
        <is>
          <t xml:space="preserve">3537 /  /  /  / </t>
        </is>
      </c>
      <c r="I110" s="15" t="inlineStr">
        <is>
          <t>要確認</t>
        </is>
      </c>
      <c r="J110" s="6" t="n"/>
      <c r="K110" s="14" t="n"/>
      <c r="L110" s="6" t="n"/>
    </row>
    <row r="111">
      <c r="A111" s="16" t="n">
        <v>110</v>
      </c>
      <c r="B111" s="16" t="inlineStr">
        <is>
          <t>室長</t>
        </is>
      </c>
      <c r="C111" s="5" t="inlineStr">
        <is>
          <t>B-1. ログイン・起動・保存まわり（</t>
        </is>
      </c>
      <c r="D111" s="16" t="inlineStr">
        <is>
          <t>全教室</t>
        </is>
      </c>
      <c r="E111" s="5" t="inlineStr">
        <is>
          <t>Cloud Functions 経由で保存準備中</t>
        </is>
      </c>
      <c r="F111" s="5" t="inlineStr">
        <is>
          <t>保存中の進捗バー</t>
        </is>
      </c>
      <c r="G111" s="5" t="inlineStr">
        <is>
          <t>App.tsx / 2247 / 2288 / 2299 / 2366</t>
        </is>
      </c>
      <c r="H111" s="16" t="inlineStr">
        <is>
          <t xml:space="preserve">3537 /  /  /  / </t>
        </is>
      </c>
      <c r="I111" s="15" t="inlineStr">
        <is>
          <t>要確認</t>
        </is>
      </c>
      <c r="J111" s="6" t="n"/>
      <c r="K111" s="14" t="n"/>
      <c r="L111" s="6" t="n"/>
    </row>
    <row r="112">
      <c r="A112" s="16" t="n">
        <v>111</v>
      </c>
      <c r="B112" s="16" t="inlineStr">
        <is>
          <t>室長</t>
        </is>
      </c>
      <c r="C112" s="5" t="inlineStr">
        <is>
          <t>B-1. ログイン・起動・保存まわり（</t>
        </is>
      </c>
      <c r="D112" s="16" t="inlineStr">
        <is>
          <t>全教室</t>
        </is>
      </c>
      <c r="E112" s="5" t="inlineStr">
        <is>
          <t>Cloud Functions 経由で保存中: 1/3教室</t>
        </is>
      </c>
      <c r="F112" s="5" t="inlineStr">
        <is>
          <t>保存中の進捗バー</t>
        </is>
      </c>
      <c r="G112" s="5" t="inlineStr">
        <is>
          <t>App.tsx / 2247 / 2288 / 2299 / 2366</t>
        </is>
      </c>
      <c r="H112" s="16" t="inlineStr">
        <is>
          <t xml:space="preserve">3537 /  /  /  / </t>
        </is>
      </c>
      <c r="I112" s="15" t="inlineStr">
        <is>
          <t>要確認</t>
        </is>
      </c>
      <c r="J112" s="6" t="n"/>
      <c r="K112" s="14" t="n"/>
      <c r="L112" s="6" t="n"/>
    </row>
    <row r="113">
      <c r="A113" s="16" t="n">
        <v>112</v>
      </c>
      <c r="B113" s="16" t="inlineStr">
        <is>
          <t>室長</t>
        </is>
      </c>
      <c r="C113" s="5" t="inlineStr">
        <is>
          <t>B-1. ログイン・起動・保存まわり（</t>
        </is>
      </c>
      <c r="D113" s="16" t="inlineStr">
        <is>
          <t>全教室</t>
        </is>
      </c>
      <c r="E113" s="5" t="inlineStr">
        <is>
          <t>Cloud Functions 経由のデータベース保存完了</t>
        </is>
      </c>
      <c r="F113" s="5" t="inlineStr">
        <is>
          <t>保存中の進捗バー</t>
        </is>
      </c>
      <c r="G113" s="5" t="inlineStr">
        <is>
          <t>App.tsx / 2247 / 2288 / 2299 / 2366</t>
        </is>
      </c>
      <c r="H113" s="16" t="inlineStr">
        <is>
          <t xml:space="preserve">3537 /  /  /  / </t>
        </is>
      </c>
      <c r="I113" s="15" t="inlineStr">
        <is>
          <t>要確認</t>
        </is>
      </c>
      <c r="J113" s="6" t="n"/>
      <c r="K113" s="14" t="n"/>
      <c r="L113" s="6" t="n"/>
    </row>
    <row r="114">
      <c r="A114" s="16" t="n">
        <v>113</v>
      </c>
      <c r="B114" s="16" t="inlineStr">
        <is>
          <t>室長</t>
        </is>
      </c>
      <c r="C114" s="5" t="inlineStr">
        <is>
          <t>B-1. ログイン・起動・保存まわり（</t>
        </is>
      </c>
      <c r="D114" s="16" t="inlineStr">
        <is>
          <t>全教室</t>
        </is>
      </c>
      <c r="E114" s="5" t="inlineStr">
        <is>
          <t>Firebase へ同期しました。</t>
        </is>
      </c>
      <c r="F114" s="5" t="inlineStr">
        <is>
          <t>保存完了</t>
        </is>
      </c>
      <c r="G114" s="5" t="inlineStr">
        <is>
          <t>App.tsx</t>
        </is>
      </c>
      <c r="H114" s="16" t="inlineStr">
        <is>
          <t>2383</t>
        </is>
      </c>
      <c r="I114" s="15" t="inlineStr">
        <is>
          <t>要確認</t>
        </is>
      </c>
      <c r="J114" s="6" t="n"/>
      <c r="K114" s="14" t="n"/>
      <c r="L114" s="6" t="n"/>
    </row>
    <row r="115">
      <c r="A115" s="16" t="n">
        <v>114</v>
      </c>
      <c r="B115" s="16" t="inlineStr">
        <is>
          <t>室長</t>
        </is>
      </c>
      <c r="C115" s="5" t="inlineStr">
        <is>
          <t>B-1. ログイン・起動・保存まわり（</t>
        </is>
      </c>
      <c r="D115" s="16" t="inlineStr">
        <is>
          <t>全教室</t>
        </is>
      </c>
      <c r="E115" s="5" t="inlineStr">
        <is>
          <t>Firebase 同期は完了しました。最新データ表示への切り替えを確認中です。</t>
        </is>
      </c>
      <c r="F115" s="5" t="inlineStr">
        <is>
          <t>保存直後</t>
        </is>
      </c>
      <c r="G115" s="5" t="inlineStr">
        <is>
          <t>App.tsx</t>
        </is>
      </c>
      <c r="H115" s="16" t="inlineStr">
        <is>
          <t>2384</t>
        </is>
      </c>
      <c r="I115" s="15" t="inlineStr">
        <is>
          <t>要確認</t>
        </is>
      </c>
      <c r="J115" s="6" t="n"/>
      <c r="K115" s="14" t="n"/>
      <c r="L115" s="6" t="n"/>
    </row>
    <row r="116">
      <c r="A116" s="16" t="n">
        <v>115</v>
      </c>
      <c r="B116" s="16" t="inlineStr">
        <is>
          <t>室長</t>
        </is>
      </c>
      <c r="C116" s="5" t="inlineStr">
        <is>
          <t>B-1. ログイン・起動・保存まわり（</t>
        </is>
      </c>
      <c r="D116" s="16" t="inlineStr">
        <is>
          <t>全教室</t>
        </is>
      </c>
      <c r="E116" s="5" t="inlineStr">
        <is>
          <t>ブラウザ内には保存済みです。Firebase 同期が遅れています。反映確認前に閉じる場合は確認ダイアログでキャンセルしてください。</t>
        </is>
      </c>
      <c r="F116" s="5" t="inlineStr">
        <is>
          <t>同期遅延</t>
        </is>
      </c>
      <c r="G116" s="5" t="inlineStr">
        <is>
          <t>App.tsx</t>
        </is>
      </c>
      <c r="H116" s="16" t="inlineStr">
        <is>
          <t>2276</t>
        </is>
      </c>
      <c r="I116" s="15" t="inlineStr">
        <is>
          <t>要確認</t>
        </is>
      </c>
      <c r="J116" s="6" t="n"/>
      <c r="K116" s="14" t="n"/>
      <c r="L116" s="6" t="n"/>
    </row>
    <row r="117">
      <c r="A117" s="16" t="n">
        <v>116</v>
      </c>
      <c r="B117" s="16" t="inlineStr">
        <is>
          <t>室長</t>
        </is>
      </c>
      <c r="C117" s="5" t="inlineStr">
        <is>
          <t>B-1. ログイン・起動・保存まわり（</t>
        </is>
      </c>
      <c r="D117" s="16" t="inlineStr">
        <is>
          <t>全教室</t>
        </is>
      </c>
      <c r="E117" s="5" t="inlineStr">
        <is>
          <t>ブラウザ内には保存済みです。Firebase 同期は未完了です: ◯◯</t>
        </is>
      </c>
      <c r="F117" s="5" t="inlineStr">
        <is>
          <t>同期失敗</t>
        </is>
      </c>
      <c r="G117" s="5" t="inlineStr">
        <is>
          <t>App.tsx / 2427</t>
        </is>
      </c>
      <c r="H117" s="16" t="inlineStr">
        <is>
          <t xml:space="preserve">2425 / </t>
        </is>
      </c>
      <c r="I117" s="15" t="inlineStr">
        <is>
          <t>要確認</t>
        </is>
      </c>
      <c r="J117" s="6" t="n"/>
      <c r="K117" s="14" t="n"/>
      <c r="L117" s="6" t="n"/>
    </row>
    <row r="118">
      <c r="A118" s="16" t="n">
        <v>117</v>
      </c>
      <c r="B118" s="16" t="inlineStr">
        <is>
          <t>室長</t>
        </is>
      </c>
      <c r="C118" s="5" t="inlineStr">
        <is>
          <t>B-1. ログイン・起動・保存まわり（</t>
        </is>
      </c>
      <c r="D118" s="16" t="inlineStr">
        <is>
          <t>全教室</t>
        </is>
      </c>
      <c r="E118" s="5" t="inlineStr">
        <is>
          <t>Firebase 同期に失敗しました。</t>
        </is>
      </c>
      <c r="F118" s="5" t="inlineStr">
        <is>
          <t>同期失敗</t>
        </is>
      </c>
      <c r="G118" s="5" t="inlineStr">
        <is>
          <t>App.tsx</t>
        </is>
      </c>
      <c r="H118" s="16" t="inlineStr">
        <is>
          <t>2421</t>
        </is>
      </c>
      <c r="I118" s="15" t="inlineStr">
        <is>
          <t>要確認</t>
        </is>
      </c>
      <c r="J118" s="6" t="n"/>
      <c r="K118" s="14" t="n"/>
      <c r="L118" s="6" t="n"/>
    </row>
    <row r="119">
      <c r="A119" s="16" t="n">
        <v>118</v>
      </c>
      <c r="B119" s="16" t="inlineStr">
        <is>
          <t>室長</t>
        </is>
      </c>
      <c r="C119" s="5" t="inlineStr">
        <is>
          <t>B-1. ログイン・起動・保存まわり（</t>
        </is>
      </c>
      <c r="D119" s="16" t="inlineStr">
        <is>
          <t>全教室</t>
        </is>
      </c>
      <c r="E119" s="5" t="inlineStr">
        <is>
          <t>保存に失敗しました。</t>
        </is>
      </c>
      <c r="F119" s="5" t="inlineStr">
        <is>
          <t>保存失敗時の案内（複数行）</t>
        </is>
      </c>
      <c r="G119" s="5" t="inlineStr">
        <is>
          <t>App.tsx</t>
        </is>
      </c>
      <c r="H119" s="16" t="inlineStr">
        <is>
          <t>70–79</t>
        </is>
      </c>
      <c r="I119" s="5" t="inlineStr"/>
      <c r="J119" s="6" t="n"/>
      <c r="K119" s="14" t="n"/>
      <c r="L119" s="6" t="n"/>
    </row>
    <row r="120">
      <c r="A120" s="16" t="n">
        <v>119</v>
      </c>
      <c r="B120" s="16" t="inlineStr">
        <is>
          <t>室長</t>
        </is>
      </c>
      <c r="C120" s="5" t="inlineStr">
        <is>
          <t>B-1. ログイン・起動・保存まわり（</t>
        </is>
      </c>
      <c r="D120" s="16" t="inlineStr">
        <is>
          <t>全教室</t>
        </is>
      </c>
      <c r="E120" s="5" t="inlineStr">
        <is>
          <t>まず、インターネットに接続されているかご確認ください。</t>
        </is>
      </c>
      <c r="F120" s="5" t="inlineStr">
        <is>
          <t>保存失敗時の案内（複数行）（同じ画面・同じダイアログの続き）</t>
        </is>
      </c>
      <c r="G120" s="5" t="inlineStr">
        <is>
          <t>App.tsx</t>
        </is>
      </c>
      <c r="H120" s="16" t="inlineStr">
        <is>
          <t>70–79</t>
        </is>
      </c>
      <c r="I120" s="5" t="inlineStr"/>
      <c r="J120" s="6" t="n"/>
      <c r="K120" s="14" t="n"/>
      <c r="L120" s="6" t="n"/>
    </row>
    <row r="121">
      <c r="A121" s="16" t="n">
        <v>120</v>
      </c>
      <c r="B121" s="16" t="inlineStr">
        <is>
          <t>室長</t>
        </is>
      </c>
      <c r="C121" s="5" t="inlineStr">
        <is>
          <t>B-1. ログイン・起動・保存まわり（</t>
        </is>
      </c>
      <c r="D121" s="16" t="inlineStr">
        <is>
          <t>全教室</t>
        </is>
      </c>
      <c r="E121" s="5" t="inlineStr">
        <is>
          <t>通信が不安定な場合は、接続が回復してからもう一度「保存」をお試しください。</t>
        </is>
      </c>
      <c r="F121" s="5" t="inlineStr">
        <is>
          <t>保存失敗時の案内（複数行）（同じ画面・同じダイアログの続き）</t>
        </is>
      </c>
      <c r="G121" s="5" t="inlineStr">
        <is>
          <t>App.tsx</t>
        </is>
      </c>
      <c r="H121" s="16" t="inlineStr">
        <is>
          <t>70–79</t>
        </is>
      </c>
      <c r="I121" s="5" t="inlineStr"/>
      <c r="J121" s="6" t="n"/>
      <c r="K121" s="14" t="n"/>
      <c r="L121" s="6" t="n"/>
    </row>
    <row r="122">
      <c r="A122" s="16" t="n">
        <v>121</v>
      </c>
      <c r="B122" s="16" t="inlineStr">
        <is>
          <t>室長</t>
        </is>
      </c>
      <c r="C122" s="5" t="inlineStr">
        <is>
          <t>B-1. ログイン・起動・保存まわり（</t>
        </is>
      </c>
      <c r="D122" s="16" t="inlineStr">
        <is>
          <t>全教室</t>
        </is>
      </c>
      <c r="E122" s="5" t="inlineStr">
        <is>
          <t>データ保護のため、バックアップJSONを自動でダウンロードしました。</t>
        </is>
      </c>
      <c r="F122" s="5" t="inlineStr">
        <is>
          <t>保存失敗時の案内（複数行）（同じ画面・同じダイアログの続き）</t>
        </is>
      </c>
      <c r="G122" s="5" t="inlineStr">
        <is>
          <t>App.tsx</t>
        </is>
      </c>
      <c r="H122" s="16" t="inlineStr">
        <is>
          <t>70–79</t>
        </is>
      </c>
      <c r="I122" s="5" t="inlineStr"/>
      <c r="J122" s="6" t="n"/>
      <c r="K122" s="14" t="n"/>
      <c r="L122" s="6" t="n"/>
    </row>
    <row r="123">
      <c r="A123" s="16" t="n">
        <v>122</v>
      </c>
      <c r="B123" s="16" t="inlineStr">
        <is>
          <t>室長</t>
        </is>
      </c>
      <c r="C123" s="5" t="inlineStr">
        <is>
          <t>B-1. ログイン・起動・保存まわり（</t>
        </is>
      </c>
      <c r="D123" s="16" t="inlineStr">
        <is>
          <t>全教室</t>
        </is>
      </c>
      <c r="E123" s="5" t="inlineStr">
        <is>
          <t>接続が回復しても保存できない場合は、次の手順で復元してください。</t>
        </is>
      </c>
      <c r="F123" s="5" t="inlineStr">
        <is>
          <t>保存失敗時の案内（複数行）（同じ画面・同じダイアログの続き）</t>
        </is>
      </c>
      <c r="G123" s="5" t="inlineStr">
        <is>
          <t>App.tsx</t>
        </is>
      </c>
      <c r="H123" s="16" t="inlineStr">
        <is>
          <t>70–79</t>
        </is>
      </c>
      <c r="I123" s="5" t="inlineStr"/>
      <c r="J123" s="6" t="n"/>
      <c r="K123" s="14" t="n"/>
      <c r="L123" s="6" t="n"/>
    </row>
    <row r="124">
      <c r="A124" s="16" t="n">
        <v>123</v>
      </c>
      <c r="B124" s="16" t="inlineStr">
        <is>
          <t>室長</t>
        </is>
      </c>
      <c r="C124" s="5" t="inlineStr">
        <is>
          <t>B-1. ログイン・起動・保存まわり（</t>
        </is>
      </c>
      <c r="D124" s="16" t="inlineStr">
        <is>
          <t>全教室</t>
        </is>
      </c>
      <c r="E124" s="5" t="inlineStr">
        <is>
          <t>1. インターネット接続を確認する</t>
        </is>
      </c>
      <c r="F124" s="5" t="inlineStr">
        <is>
          <t>保存失敗時の案内（複数行）（同じ画面・同じダイアログの続き）</t>
        </is>
      </c>
      <c r="G124" s="5" t="inlineStr">
        <is>
          <t>App.tsx</t>
        </is>
      </c>
      <c r="H124" s="16" t="inlineStr">
        <is>
          <t>70–79</t>
        </is>
      </c>
      <c r="I124" s="5" t="inlineStr"/>
      <c r="J124" s="6" t="n"/>
      <c r="K124" s="14" t="n"/>
      <c r="L124" s="6" t="n"/>
    </row>
    <row r="125">
      <c r="A125" s="16" t="n">
        <v>124</v>
      </c>
      <c r="B125" s="16" t="inlineStr">
        <is>
          <t>室長</t>
        </is>
      </c>
      <c r="C125" s="5" t="inlineStr">
        <is>
          <t>B-1. ログイン・起動・保存まわり（</t>
        </is>
      </c>
      <c r="D125" s="16" t="inlineStr">
        <is>
          <t>全教室</t>
        </is>
      </c>
      <c r="E125" s="5" t="inlineStr">
        <is>
          <t>2. 一度ログアウトし、再ログインする</t>
        </is>
      </c>
      <c r="F125" s="5" t="inlineStr">
        <is>
          <t>保存失敗時の案内（複数行）（同じ画面・同じダイアログの続き）</t>
        </is>
      </c>
      <c r="G125" s="5" t="inlineStr">
        <is>
          <t>App.tsx</t>
        </is>
      </c>
      <c r="H125" s="16" t="inlineStr">
        <is>
          <t>70–79</t>
        </is>
      </c>
      <c r="I125" s="5" t="inlineStr"/>
      <c r="J125" s="6" t="n"/>
      <c r="K125" s="14" t="n"/>
      <c r="L125" s="6" t="n"/>
    </row>
    <row r="126">
      <c r="A126" s="16" t="n">
        <v>125</v>
      </c>
      <c r="B126" s="16" t="inlineStr">
        <is>
          <t>室長</t>
        </is>
      </c>
      <c r="C126" s="5" t="inlineStr">
        <is>
          <t>B-1. ログイン・起動・保存まわり（</t>
        </is>
      </c>
      <c r="D126" s="16" t="inlineStr">
        <is>
          <t>全教室</t>
        </is>
      </c>
      <c r="E126" s="5" t="inlineStr">
        <is>
          <t>3. 「バックアップを読み込む」から、ダウンロードフォルダの最新バックアップを選ぶ</t>
        </is>
      </c>
      <c r="F126" s="5" t="inlineStr">
        <is>
          <t>保存失敗時の案内（複数行）（同じ画面・同じダイアログの続き）</t>
        </is>
      </c>
      <c r="G126" s="5" t="inlineStr">
        <is>
          <t>App.tsx</t>
        </is>
      </c>
      <c r="H126" s="16" t="inlineStr">
        <is>
          <t>70–79</t>
        </is>
      </c>
      <c r="I126" s="5" t="inlineStr"/>
      <c r="J126" s="6" t="n"/>
      <c r="K126" s="14" t="n"/>
      <c r="L126" s="6" t="n"/>
    </row>
    <row r="127">
      <c r="A127" s="16" t="n">
        <v>126</v>
      </c>
      <c r="B127" s="16" t="inlineStr">
        <is>
          <t>室長</t>
        </is>
      </c>
      <c r="C127" s="5" t="inlineStr">
        <is>
          <t>B-1. ログイン・起動・保存まわり（</t>
        </is>
      </c>
      <c r="D127" s="16" t="inlineStr">
        <is>
          <t>全教室</t>
        </is>
      </c>
      <c r="E127" s="5" t="inlineStr">
        <is>
          <t>別の端末でこの教室のデータが更新されました。</t>
        </is>
      </c>
      <c r="F127" s="5" t="inlineStr">
        <is>
          <t>別端末競合時の案内</t>
        </is>
      </c>
      <c r="G127" s="5" t="inlineStr">
        <is>
          <t>App.tsx</t>
        </is>
      </c>
      <c r="H127" s="16" t="inlineStr">
        <is>
          <t>104–112</t>
        </is>
      </c>
      <c r="I127" s="5" t="inlineStr"/>
      <c r="J127" s="6" t="n"/>
      <c r="K127" s="14" t="n"/>
      <c r="L127" s="6" t="n"/>
    </row>
    <row r="128">
      <c r="A128" s="16" t="n">
        <v>127</v>
      </c>
      <c r="B128" s="16" t="inlineStr">
        <is>
          <t>室長</t>
        </is>
      </c>
      <c r="C128" s="5" t="inlineStr">
        <is>
          <t>B-1. ログイン・起動・保存まわり（</t>
        </is>
      </c>
      <c r="D128" s="16" t="inlineStr">
        <is>
          <t>全教室</t>
        </is>
      </c>
      <c r="E128" s="5" t="inlineStr">
        <is>
          <t>このタブの変更は、最新データを上書きしないようクラウド保存を止めています。</t>
        </is>
      </c>
      <c r="F128" s="5" t="inlineStr">
        <is>
          <t>別端末競合時の案内（同じ画面・同じダイアログの続き）</t>
        </is>
      </c>
      <c r="G128" s="5" t="inlineStr">
        <is>
          <t>App.tsx</t>
        </is>
      </c>
      <c r="H128" s="16" t="inlineStr">
        <is>
          <t>104–112</t>
        </is>
      </c>
      <c r="I128" s="5" t="inlineStr"/>
      <c r="J128" s="6" t="n"/>
      <c r="K128" s="14" t="n"/>
      <c r="L128" s="6" t="n"/>
    </row>
    <row r="129">
      <c r="A129" s="16" t="n">
        <v>128</v>
      </c>
      <c r="B129" s="16" t="inlineStr">
        <is>
          <t>室長</t>
        </is>
      </c>
      <c r="C129" s="5" t="inlineStr">
        <is>
          <t>B-1. ログイン・起動・保存まわり（</t>
        </is>
      </c>
      <c r="D129" s="16" t="inlineStr">
        <is>
          <t>全教室</t>
        </is>
      </c>
      <c r="E129" s="5" t="inlineStr">
        <is>
          <t>お手数ですが、次の手順でご対応ください。</t>
        </is>
      </c>
      <c r="F129" s="5" t="inlineStr">
        <is>
          <t>別端末競合時の案内（同じ画面・同じダイアログの続き）</t>
        </is>
      </c>
      <c r="G129" s="5" t="inlineStr">
        <is>
          <t>App.tsx</t>
        </is>
      </c>
      <c r="H129" s="16" t="inlineStr">
        <is>
          <t>104–112</t>
        </is>
      </c>
      <c r="I129" s="5" t="inlineStr"/>
      <c r="J129" s="6" t="n"/>
      <c r="K129" s="14" t="n"/>
      <c r="L129" s="6" t="n"/>
    </row>
    <row r="130">
      <c r="A130" s="16" t="n">
        <v>129</v>
      </c>
      <c r="B130" s="16" t="inlineStr">
        <is>
          <t>室長</t>
        </is>
      </c>
      <c r="C130" s="5" t="inlineStr">
        <is>
          <t>B-1. ログイン・起動・保存まわり（</t>
        </is>
      </c>
      <c r="D130" s="16" t="inlineStr">
        <is>
          <t>全教室</t>
        </is>
      </c>
      <c r="E130" s="5" t="inlineStr">
        <is>
          <t>1. データ保護のため、このタブの内容をバックアップJSONに書き出しました(ダウンロードフォルダ)</t>
        </is>
      </c>
      <c r="F130" s="5" t="inlineStr">
        <is>
          <t>別端末競合時の案内（同じ画面・同じダイアログの続き）</t>
        </is>
      </c>
      <c r="G130" s="5" t="inlineStr">
        <is>
          <t>App.tsx</t>
        </is>
      </c>
      <c r="H130" s="16" t="inlineStr">
        <is>
          <t>104–112</t>
        </is>
      </c>
      <c r="I130" s="5" t="inlineStr"/>
      <c r="J130" s="6" t="n"/>
      <c r="K130" s="14" t="n"/>
      <c r="L130" s="6" t="n"/>
    </row>
    <row r="131">
      <c r="A131" s="16" t="n">
        <v>130</v>
      </c>
      <c r="B131" s="16" t="inlineStr">
        <is>
          <t>室長</t>
        </is>
      </c>
      <c r="C131" s="5" t="inlineStr">
        <is>
          <t>B-1. ログイン・起動・保存まわり（</t>
        </is>
      </c>
      <c r="D131" s="16" t="inlineStr">
        <is>
          <t>全教室</t>
        </is>
      </c>
      <c r="E131" s="5" t="inlineStr">
        <is>
          <t>2. 画面を再読み込みして、最新のデータを取得してください</t>
        </is>
      </c>
      <c r="F131" s="5" t="inlineStr">
        <is>
          <t>別端末競合時の案内（同じ画面・同じダイアログの続き）</t>
        </is>
      </c>
      <c r="G131" s="5" t="inlineStr">
        <is>
          <t>App.tsx</t>
        </is>
      </c>
      <c r="H131" s="16" t="inlineStr">
        <is>
          <t>104–112</t>
        </is>
      </c>
      <c r="I131" s="5" t="inlineStr"/>
      <c r="J131" s="6" t="n"/>
      <c r="K131" s="14" t="n"/>
      <c r="L131" s="6" t="n"/>
    </row>
    <row r="132">
      <c r="A132" s="16" t="n">
        <v>131</v>
      </c>
      <c r="B132" s="16" t="inlineStr">
        <is>
          <t>室長</t>
        </is>
      </c>
      <c r="C132" s="5" t="inlineStr">
        <is>
          <t>B-1. ログイン・起動・保存まわり（</t>
        </is>
      </c>
      <c r="D132" s="16" t="inlineStr">
        <is>
          <t>全教室</t>
        </is>
      </c>
      <c r="E132" s="5" t="inlineStr">
        <is>
          <t>3. 必要な変更が最新データに無ければ、再度入力して保存してください</t>
        </is>
      </c>
      <c r="F132" s="5" t="inlineStr">
        <is>
          <t>別端末競合時の案内（同じ画面・同じダイアログの続き）</t>
        </is>
      </c>
      <c r="G132" s="5" t="inlineStr">
        <is>
          <t>App.tsx</t>
        </is>
      </c>
      <c r="H132" s="16" t="inlineStr">
        <is>
          <t>104–112</t>
        </is>
      </c>
      <c r="I132" s="5" t="inlineStr"/>
      <c r="J132" s="6" t="n"/>
      <c r="K132" s="14" t="n"/>
      <c r="L132" s="6" t="n"/>
    </row>
    <row r="133">
      <c r="A133" s="16" t="n">
        <v>132</v>
      </c>
      <c r="B133" s="16" t="inlineStr">
        <is>
          <t>室長</t>
        </is>
      </c>
      <c r="C133" s="5" t="inlineStr">
        <is>
          <t>B-1. ログイン・起動・保存まわり（</t>
        </is>
      </c>
      <c r="D133" s="16" t="inlineStr">
        <is>
          <t>全教室</t>
        </is>
      </c>
      <c r="E133" s="5" t="inlineStr">
        <is>
          <t>※ コマ表は「1教室=1端末」での編集を前提にしています。複数の端末・タブで同時に開かないでください。</t>
        </is>
      </c>
      <c r="F133" s="5" t="inlineStr">
        <is>
          <t>別端末競合時の案内（同じ画面・同じダイアログの続き）</t>
        </is>
      </c>
      <c r="G133" s="5" t="inlineStr">
        <is>
          <t>App.tsx</t>
        </is>
      </c>
      <c r="H133" s="16" t="inlineStr">
        <is>
          <t>104–112</t>
        </is>
      </c>
      <c r="I133" s="5" t="inlineStr"/>
      <c r="J133" s="6" t="n"/>
      <c r="K133" s="14" t="n"/>
      <c r="L133" s="6" t="n"/>
    </row>
    <row r="134">
      <c r="A134" s="16" t="n">
        <v>133</v>
      </c>
      <c r="B134" s="16" t="inlineStr">
        <is>
          <t>室長</t>
        </is>
      </c>
      <c r="C134" s="5" t="inlineStr">
        <is>
          <t>B-1. ログイン・起動・保存まわり（</t>
        </is>
      </c>
      <c r="D134" s="16" t="inlineStr">
        <is>
          <t>全教室</t>
        </is>
      </c>
      <c r="E134" s="5" t="inlineStr">
        <is>
          <t>別の端末でこの教室のデータが更新されました。最新を上書きしないようクラウド保存を停止しました。…</t>
        </is>
      </c>
      <c r="F134" s="5" t="inlineStr">
        <is>
          <t>同上（バナー）</t>
        </is>
      </c>
      <c r="G134" s="5" t="inlineStr">
        <is>
          <t>App.tsx</t>
        </is>
      </c>
      <c r="H134" s="16" t="inlineStr">
        <is>
          <t>2404–2405</t>
        </is>
      </c>
      <c r="I134" s="5" t="inlineStr"/>
      <c r="J134" s="6" t="n"/>
      <c r="K134" s="14" t="n"/>
      <c r="L134" s="6" t="n"/>
    </row>
    <row r="135">
      <c r="A135" s="16" t="n">
        <v>134</v>
      </c>
      <c r="B135" s="16" t="inlineStr">
        <is>
          <t>室長</t>
        </is>
      </c>
      <c r="C135" s="5" t="inlineStr">
        <is>
          <t>B-1. ログイン・起動・保存まわり（</t>
        </is>
      </c>
      <c r="D135" s="16" t="inlineStr">
        <is>
          <t>全教室</t>
        </is>
      </c>
      <c r="E135" s="5" t="inlineStr">
        <is>
          <t>自動保存に失敗しました。バックアップを書き出してください。</t>
        </is>
      </c>
      <c r="F135" s="5" t="inlineStr">
        <is>
          <t>自動保存失敗</t>
        </is>
      </c>
      <c r="G135" s="5" t="inlineStr">
        <is>
          <t>App.tsx</t>
        </is>
      </c>
      <c r="H135" s="16" t="inlineStr">
        <is>
          <t>4908</t>
        </is>
      </c>
      <c r="I135" s="5" t="inlineStr"/>
      <c r="J135" s="6" t="n"/>
      <c r="K135" s="14" t="n"/>
      <c r="L135" s="6" t="n"/>
    </row>
    <row r="136">
      <c r="A136" s="16" t="n">
        <v>135</v>
      </c>
      <c r="B136" s="16" t="inlineStr">
        <is>
          <t>室長</t>
        </is>
      </c>
      <c r="C136" s="5" t="inlineStr">
        <is>
          <t>B-1. ログイン・起動・保存まわり（</t>
        </is>
      </c>
      <c r="D136" s="16" t="inlineStr">
        <is>
          <t>全教室</t>
        </is>
      </c>
      <c r="E136" s="5" t="inlineStr">
        <is>
          <t>保存に失敗したため、バックアップJSONを自動ダウンロードしました。</t>
        </is>
      </c>
      <c r="F136" s="5" t="inlineStr">
        <is>
          <t>保存失敗</t>
        </is>
      </c>
      <c r="G136" s="5" t="inlineStr">
        <is>
          <t>App.tsx</t>
        </is>
      </c>
      <c r="H136" s="16" t="inlineStr">
        <is>
          <t>3608–3609</t>
        </is>
      </c>
      <c r="I136" s="5" t="inlineStr"/>
      <c r="J136" s="6" t="n"/>
      <c r="K136" s="14" t="n"/>
      <c r="L136" s="6" t="n"/>
    </row>
    <row r="137">
      <c r="A137" s="16" t="n">
        <v>136</v>
      </c>
      <c r="B137" s="16" t="inlineStr">
        <is>
          <t>室長</t>
        </is>
      </c>
      <c r="C137" s="5" t="inlineStr">
        <is>
          <t>B-1. ログイン・起動・保存まわり（</t>
        </is>
      </c>
      <c r="D137" s="16" t="inlineStr">
        <is>
          <t>全教室</t>
        </is>
      </c>
      <c r="E137" s="5" t="inlineStr">
        <is>
          <t>保存に失敗しました。バックアップを書き出してください。</t>
        </is>
      </c>
      <c r="F137" s="5" t="inlineStr">
        <is>
          <t>保存失敗</t>
        </is>
      </c>
      <c r="G137" s="5" t="inlineStr">
        <is>
          <t>App.tsx</t>
        </is>
      </c>
      <c r="H137" s="16" t="inlineStr">
        <is>
          <t>3608–3609</t>
        </is>
      </c>
      <c r="I137" s="5" t="inlineStr"/>
      <c r="J137" s="6" t="n"/>
      <c r="K137" s="14" t="n"/>
      <c r="L137" s="6" t="n"/>
    </row>
    <row r="138">
      <c r="A138" s="16" t="n">
        <v>137</v>
      </c>
      <c r="B138" s="16" t="inlineStr">
        <is>
          <t>室長</t>
        </is>
      </c>
      <c r="C138" s="5" t="inlineStr">
        <is>
          <t>B-1. ログイン・起動・保存まわり（</t>
        </is>
      </c>
      <c r="D138" s="16" t="inlineStr">
        <is>
          <t>全教室</t>
        </is>
      </c>
      <c r="E138" s="5" t="inlineStr">
        <is>
          <t>保存データはまだありません。必要なら初期設定から開始してください。</t>
        </is>
      </c>
      <c r="F138" s="5" t="inlineStr">
        <is>
          <t>初回起動</t>
        </is>
      </c>
      <c r="G138" s="5" t="inlineStr">
        <is>
          <t>App.tsx</t>
        </is>
      </c>
      <c r="H138" s="16" t="inlineStr">
        <is>
          <t>4814</t>
        </is>
      </c>
      <c r="I138" s="5" t="inlineStr"/>
      <c r="J138" s="6" t="n"/>
      <c r="K138" s="14" t="n"/>
      <c r="L138" s="6" t="n"/>
    </row>
    <row r="139">
      <c r="A139" s="16" t="n">
        <v>138</v>
      </c>
      <c r="B139" s="16" t="inlineStr">
        <is>
          <t>室長</t>
        </is>
      </c>
      <c r="C139" s="5" t="inlineStr">
        <is>
          <t>B-1. ログイン・起動・保存まわり（</t>
        </is>
      </c>
      <c r="D139" s="16" t="inlineStr">
        <is>
          <t>全教室</t>
        </is>
      </c>
      <c r="E139" s="5" t="inlineStr">
        <is>
          <t>保存データの読み込みに失敗しました。現在の初期データで続行します。</t>
        </is>
      </c>
      <c r="F139" s="5" t="inlineStr">
        <is>
          <t>読み込み失敗</t>
        </is>
      </c>
      <c r="G139" s="5" t="inlineStr">
        <is>
          <t>App.tsx</t>
        </is>
      </c>
      <c r="H139" s="16" t="inlineStr">
        <is>
          <t>4820</t>
        </is>
      </c>
      <c r="I139" s="5" t="inlineStr"/>
      <c r="J139" s="6" t="n"/>
      <c r="K139" s="14" t="n"/>
      <c r="L139" s="6" t="n"/>
    </row>
    <row r="140">
      <c r="A140" s="16" t="n">
        <v>139</v>
      </c>
      <c r="B140" s="16" t="inlineStr">
        <is>
          <t>室長</t>
        </is>
      </c>
      <c r="C140" s="5" t="inlineStr">
        <is>
          <t>B-1. ログイン・起動・保存まわり（</t>
        </is>
      </c>
      <c r="D140" s="16" t="inlineStr">
        <is>
          <t>全教室</t>
        </is>
      </c>
      <c r="E140" s="5" t="inlineStr">
        <is>
          <t>教室ワークスペースを読み込みました。</t>
        </is>
      </c>
      <c r="F140" s="5" t="inlineStr">
        <is>
          <t>起動完了</t>
        </is>
      </c>
      <c r="G140" s="5" t="inlineStr">
        <is>
          <t>App.tsx / 4769</t>
        </is>
      </c>
      <c r="H140" s="16" t="inlineStr">
        <is>
          <t xml:space="preserve">4797 / </t>
        </is>
      </c>
      <c r="I140" s="15" t="inlineStr">
        <is>
          <t>要確認</t>
        </is>
      </c>
      <c r="J140" s="6" t="n"/>
      <c r="K140" s="14" t="n"/>
      <c r="L140" s="6" t="n"/>
    </row>
    <row r="141">
      <c r="A141" s="16" t="n">
        <v>140</v>
      </c>
      <c r="B141" s="16" t="inlineStr">
        <is>
          <t>室長</t>
        </is>
      </c>
      <c r="C141" s="5" t="inlineStr">
        <is>
          <t>B-1. ログイン・起動・保存まわり（</t>
        </is>
      </c>
      <c r="D141" s="16" t="inlineStr">
        <is>
          <t>全教室</t>
        </is>
      </c>
      <c r="E141" s="5" t="inlineStr">
        <is>
          <t>Firebase から教室ワークスペースを読み込みました。</t>
        </is>
      </c>
      <c r="F141" s="5" t="inlineStr">
        <is>
          <t>起動完了</t>
        </is>
      </c>
      <c r="G141" s="5" t="inlineStr">
        <is>
          <t>App.tsx / 4769</t>
        </is>
      </c>
      <c r="H141" s="16" t="inlineStr">
        <is>
          <t xml:space="preserve">4797 / </t>
        </is>
      </c>
      <c r="I141" s="15" t="inlineStr">
        <is>
          <t>要確認</t>
        </is>
      </c>
      <c r="J141" s="6" t="n"/>
      <c r="K141" s="14" t="n"/>
      <c r="L141" s="6" t="n"/>
    </row>
    <row r="142">
      <c r="A142" s="16" t="n">
        <v>141</v>
      </c>
      <c r="B142" s="16" t="inlineStr">
        <is>
          <t>室長</t>
        </is>
      </c>
      <c r="C142" s="5" t="inlineStr">
        <is>
          <t>B-1. ログイン・起動・保存まわり（</t>
        </is>
      </c>
      <c r="D142" s="16" t="inlineStr">
        <is>
          <t>全教室</t>
        </is>
      </c>
      <c r="E142" s="5" t="inlineStr">
        <is>
          <t>Firebase からの読み込みに失敗しました。</t>
        </is>
      </c>
      <c r="F142" s="5" t="inlineStr">
        <is>
          <t>起動失敗</t>
        </is>
      </c>
      <c r="G142" s="5" t="inlineStr">
        <is>
          <t>App.tsx</t>
        </is>
      </c>
      <c r="H142" s="16" t="inlineStr">
        <is>
          <t>4775</t>
        </is>
      </c>
      <c r="I142" s="15" t="inlineStr">
        <is>
          <t>要確認</t>
        </is>
      </c>
      <c r="J142" s="6" t="n"/>
      <c r="K142" s="14" t="n"/>
      <c r="L142" s="6" t="n"/>
    </row>
    <row r="143">
      <c r="A143" s="16" t="n">
        <v>142</v>
      </c>
      <c r="B143" s="16" t="inlineStr">
        <is>
          <t>室長</t>
        </is>
      </c>
      <c r="C143" s="5" t="inlineStr">
        <is>
          <t>B-1. ログイン・起動・保存まわり（</t>
        </is>
      </c>
      <c r="D143" s="16" t="inlineStr">
        <is>
          <t>全教室</t>
        </is>
      </c>
      <c r="E143" s="5" t="inlineStr">
        <is>
          <t>「◯◯」の実行前の状態に戻しました。</t>
        </is>
      </c>
      <c r="F143" s="5" t="inlineStr">
        <is>
          <t>「直前の状態に戻す」</t>
        </is>
      </c>
      <c r="G143" s="5" t="inlineStr">
        <is>
          <t>App.tsx</t>
        </is>
      </c>
      <c r="H143" s="16" t="inlineStr">
        <is>
          <t>2590</t>
        </is>
      </c>
      <c r="I143" s="5" t="inlineStr"/>
      <c r="J143" s="6" t="n"/>
      <c r="K143" s="14" t="n"/>
      <c r="L143" s="6" t="n"/>
    </row>
    <row r="144">
      <c r="A144" s="16" t="n">
        <v>143</v>
      </c>
      <c r="B144" s="16" t="inlineStr">
        <is>
          <t>室長</t>
        </is>
      </c>
      <c r="C144" s="5" t="inlineStr">
        <is>
          <t>B-1. ログイン・起動・保存まわり（</t>
        </is>
      </c>
      <c r="D144" s="16" t="inlineStr">
        <is>
          <t>全教室</t>
        </is>
      </c>
      <c r="E144" s="5" t="inlineStr">
        <is>
          <t>別の教室で行った操作のため、この教室では「直前の状態に戻す」を実行できません。</t>
        </is>
      </c>
      <c r="F144" s="5" t="inlineStr">
        <is>
          <t>同上</t>
        </is>
      </c>
      <c r="G144" s="5" t="inlineStr">
        <is>
          <t>App.tsx</t>
        </is>
      </c>
      <c r="H144" s="16" t="inlineStr">
        <is>
          <t>2565</t>
        </is>
      </c>
      <c r="I144" s="5" t="inlineStr"/>
      <c r="J144" s="6" t="n"/>
      <c r="K144" s="14" t="n"/>
      <c r="L144" s="6" t="n"/>
    </row>
    <row r="145">
      <c r="A145" s="16" t="n">
        <v>144</v>
      </c>
      <c r="B145" s="16" t="inlineStr">
        <is>
          <t>室長</t>
        </is>
      </c>
      <c r="C145" s="5" t="inlineStr">
        <is>
          <t>B-1. ログイン・起動・保存まわり（</t>
        </is>
      </c>
      <c r="D145" s="16" t="inlineStr">
        <is>
          <t>全教室</t>
        </is>
      </c>
      <c r="E145" s="5" t="inlineStr">
        <is>
          <t>◯◯ の QR 提出を完了しました。</t>
        </is>
      </c>
      <c r="F145" s="5" t="inlineStr">
        <is>
          <t>提出通知バナー</t>
        </is>
      </c>
      <c r="G145" s="5" t="inlineStr">
        <is>
          <t>App.tsx</t>
        </is>
      </c>
      <c r="H145" s="16" t="inlineStr">
        <is>
          <t>1888</t>
        </is>
      </c>
      <c r="I145" s="5" t="inlineStr"/>
      <c r="J145" s="6" t="n"/>
      <c r="K145" s="14" t="n"/>
      <c r="L145" s="6" t="n"/>
    </row>
    <row r="146">
      <c r="A146" s="16" t="n">
        <v>145</v>
      </c>
      <c r="B146" s="16" t="inlineStr">
        <is>
          <t>室長</t>
        </is>
      </c>
      <c r="C146" s="5" t="inlineStr">
        <is>
          <t>B-1. ログイン・起動・保存まわり（</t>
        </is>
      </c>
      <c r="D146" s="16" t="inlineStr">
        <is>
          <t>全教室</t>
        </is>
      </c>
      <c r="E146" s="5" t="inlineStr">
        <is>
          <t>講習提出のリセット(再提出可能化)に失敗しました。通信状態を確認して、登録解除をもう一度お試しください。</t>
        </is>
      </c>
      <c r="F146" s="5" t="inlineStr">
        <is>
          <t>登録解除の失敗</t>
        </is>
      </c>
      <c r="G146" s="5" t="inlineStr">
        <is>
          <t>App.tsx / 4397</t>
        </is>
      </c>
      <c r="H146" s="16" t="inlineStr">
        <is>
          <t xml:space="preserve">4270 / </t>
        </is>
      </c>
      <c r="I146" s="5" t="inlineStr"/>
      <c r="J146" s="6" t="n"/>
      <c r="K146" s="14" t="n"/>
      <c r="L146" s="6" t="n"/>
    </row>
    <row r="147">
      <c r="A147" s="16" t="n">
        <v>146</v>
      </c>
      <c r="B147" s="16" t="inlineStr">
        <is>
          <t>室長</t>
        </is>
      </c>
      <c r="C147" s="5" t="inlineStr">
        <is>
          <t>B-1. ログイン・起動・保存まわり（</t>
        </is>
      </c>
      <c r="D147" s="16" t="inlineStr">
        <is>
          <t>全教室</t>
        </is>
      </c>
      <c r="E147" s="5" t="inlineStr">
        <is>
          <t>処理済みにできませんでした: ◯◯ 通信状態を確認して、もう一度お試しください。</t>
        </is>
      </c>
      <c r="F147" s="5" t="inlineStr">
        <is>
          <t>保護者連絡の処理失敗</t>
        </is>
      </c>
      <c r="G147" s="5" t="inlineStr">
        <is>
          <t>App.tsx</t>
        </is>
      </c>
      <c r="H147" s="16" t="inlineStr">
        <is>
          <t>1702</t>
        </is>
      </c>
      <c r="I147" s="5" t="inlineStr"/>
      <c r="J147" s="6" t="n"/>
      <c r="K147" s="14" t="n"/>
      <c r="L147" s="6" t="n"/>
    </row>
    <row r="148">
      <c r="A148" s="16" t="n">
        <v>147</v>
      </c>
      <c r="B148" s="16" t="inlineStr">
        <is>
          <t>室長</t>
        </is>
      </c>
      <c r="C148" s="5" t="inlineStr">
        <is>
          <t>B-1. ログイン・起動・保存まわり（</t>
        </is>
      </c>
      <c r="D148" s="16" t="inlineStr">
        <is>
          <t>全教室</t>
        </is>
      </c>
      <c r="E148" s="5" t="inlineStr">
        <is>
          <t>盤面で処理できませんでした。盤面を開いてから、もう一度選んでください。</t>
        </is>
      </c>
      <c r="F148" s="5" t="inlineStr">
        <is>
          <t>同上</t>
        </is>
      </c>
      <c r="G148" s="5" t="inlineStr">
        <is>
          <t>App.tsx</t>
        </is>
      </c>
      <c r="H148" s="16" t="inlineStr">
        <is>
          <t>1750</t>
        </is>
      </c>
      <c r="I148" s="5" t="inlineStr"/>
      <c r="J148" s="6" t="n"/>
      <c r="K148" s="14" t="n"/>
      <c r="L148" s="6" t="n"/>
    </row>
    <row r="149">
      <c r="A149" s="16" t="n">
        <v>148</v>
      </c>
      <c r="B149" s="16" t="inlineStr">
        <is>
          <t>室長</t>
        </is>
      </c>
      <c r="C149" s="5" t="inlineStr">
        <is>
          <t>B-1. ログイン・起動・保存まわり（</t>
        </is>
      </c>
      <c r="D149" s="16" t="inlineStr">
        <is>
          <t>全教室</t>
        </is>
      </c>
      <c r="E149" s="5" t="inlineStr">
        <is>
          <t>バックアップを復元します。</t>
        </is>
      </c>
      <c r="F149" s="5" t="inlineStr">
        <is>
          <t>バックアップ読込の確認</t>
        </is>
      </c>
      <c r="G149" s="5" t="inlineStr">
        <is>
          <t>App.tsx</t>
        </is>
      </c>
      <c r="H149" s="16" t="inlineStr">
        <is>
          <t>5093–5096</t>
        </is>
      </c>
      <c r="I149" s="15" t="inlineStr">
        <is>
          <t>「?」半角</t>
        </is>
      </c>
      <c r="J149" s="6" t="n"/>
      <c r="K149" s="14" t="n"/>
      <c r="L149" s="6" t="n"/>
    </row>
    <row r="150">
      <c r="A150" s="16" t="n">
        <v>149</v>
      </c>
      <c r="B150" s="16" t="inlineStr">
        <is>
          <t>室長</t>
        </is>
      </c>
      <c r="C150" s="5" t="inlineStr">
        <is>
          <t>B-1. ログイン・起動・保存まわり（</t>
        </is>
      </c>
      <c r="D150" s="16" t="inlineStr">
        <is>
          <t>全教室</t>
        </is>
      </c>
      <c r="E150" s="5" t="inlineStr">
        <is>
          <t>現在のデータはこの内容で上書きされます。</t>
        </is>
      </c>
      <c r="F150" s="5" t="inlineStr">
        <is>
          <t>バックアップ読込の確認</t>
        </is>
      </c>
      <c r="G150" s="5" t="inlineStr">
        <is>
          <t>App.tsx</t>
        </is>
      </c>
      <c r="H150" s="16" t="inlineStr">
        <is>
          <t>5093–5096</t>
        </is>
      </c>
      <c r="I150" s="15" t="inlineStr">
        <is>
          <t>「?」半角</t>
        </is>
      </c>
      <c r="J150" s="6" t="n"/>
      <c r="K150" s="14" t="n"/>
      <c r="L150" s="6" t="n"/>
    </row>
    <row r="151">
      <c r="A151" s="16" t="n">
        <v>150</v>
      </c>
      <c r="B151" s="16" t="inlineStr">
        <is>
          <t>室長</t>
        </is>
      </c>
      <c r="C151" s="5" t="inlineStr">
        <is>
          <t>B-1. ログイン・起動・保存まわり（</t>
        </is>
      </c>
      <c r="D151" s="16" t="inlineStr">
        <is>
          <t>全教室</t>
        </is>
      </c>
      <c r="E151" s="5" t="inlineStr">
        <is>
          <t>復元してよろしいですか?</t>
        </is>
      </c>
      <c r="F151" s="5" t="inlineStr">
        <is>
          <t>バックアップ読込の確認</t>
        </is>
      </c>
      <c r="G151" s="5" t="inlineStr">
        <is>
          <t>App.tsx</t>
        </is>
      </c>
      <c r="H151" s="16" t="inlineStr">
        <is>
          <t>5093–5096</t>
        </is>
      </c>
      <c r="I151" s="15" t="inlineStr">
        <is>
          <t>「?」半角</t>
        </is>
      </c>
      <c r="J151" s="6" t="n"/>
      <c r="K151" s="14" t="n"/>
      <c r="L151" s="6" t="n"/>
    </row>
    <row r="152">
      <c r="A152" s="16" t="n">
        <v>151</v>
      </c>
      <c r="B152" s="16" t="inlineStr">
        <is>
          <t>室長</t>
        </is>
      </c>
      <c r="C152" s="5" t="inlineStr">
        <is>
          <t>B-1. ログイン・起動・保存まわり（</t>
        </is>
      </c>
      <c r="D152" s="16" t="inlineStr">
        <is>
          <t>全教室</t>
        </is>
      </c>
      <c r="E152" s="5" t="inlineStr">
        <is>
          <t>バックアップを読み込みました。</t>
        </is>
      </c>
      <c r="F152" s="5" t="inlineStr">
        <is>
          <t>同上</t>
        </is>
      </c>
      <c r="G152" s="5" t="inlineStr">
        <is>
          <t>App.tsx / 5099</t>
        </is>
      </c>
      <c r="H152" s="16" t="inlineStr">
        <is>
          <t xml:space="preserve">5103 / </t>
        </is>
      </c>
      <c r="I152" s="5" t="inlineStr"/>
      <c r="J152" s="6" t="n"/>
      <c r="K152" s="14" t="n"/>
      <c r="L152" s="6" t="n"/>
    </row>
    <row r="153">
      <c r="A153" s="16" t="n">
        <v>152</v>
      </c>
      <c r="B153" s="16" t="inlineStr">
        <is>
          <t>室長</t>
        </is>
      </c>
      <c r="C153" s="5" t="inlineStr">
        <is>
          <t>B-1. ログイン・起動・保存まわり（</t>
        </is>
      </c>
      <c r="D153" s="16" t="inlineStr">
        <is>
          <t>全教室</t>
        </is>
      </c>
      <c r="E153" s="5" t="inlineStr">
        <is>
          <t>バックアップの復元をキャンセルしました。</t>
        </is>
      </c>
      <c r="F153" s="5" t="inlineStr">
        <is>
          <t>同上</t>
        </is>
      </c>
      <c r="G153" s="5" t="inlineStr">
        <is>
          <t>App.tsx / 5099</t>
        </is>
      </c>
      <c r="H153" s="16" t="inlineStr">
        <is>
          <t xml:space="preserve">5103 / </t>
        </is>
      </c>
      <c r="I153" s="5" t="inlineStr"/>
      <c r="J153" s="6" t="n"/>
      <c r="K153" s="14" t="n"/>
      <c r="L153" s="6" t="n"/>
    </row>
    <row r="154">
      <c r="A154" s="16" t="n">
        <v>153</v>
      </c>
      <c r="B154" s="16" t="inlineStr">
        <is>
          <t>室長</t>
        </is>
      </c>
      <c r="C154" s="5" t="inlineStr">
        <is>
          <t>B-1. ログイン・起動・保存まわり（</t>
        </is>
      </c>
      <c r="D154" s="16" t="inlineStr">
        <is>
          <t>全教室</t>
        </is>
      </c>
      <c r="E154" s="5" t="inlineStr">
        <is>
          <t>バックアップの読み込みに失敗しました。ファイル形式を確認してください。</t>
        </is>
      </c>
      <c r="F154" s="5" t="inlineStr">
        <is>
          <t>同上</t>
        </is>
      </c>
      <c r="G154" s="5" t="inlineStr">
        <is>
          <t>App.tsx</t>
        </is>
      </c>
      <c r="H154" s="16" t="inlineStr">
        <is>
          <t>5105</t>
        </is>
      </c>
      <c r="I154" s="5" t="inlineStr"/>
      <c r="J154" s="6" t="n"/>
      <c r="K154" s="14" t="n"/>
      <c r="L154" s="6" t="n"/>
    </row>
    <row r="155">
      <c r="A155" s="16" t="n">
        <v>154</v>
      </c>
      <c r="B155" s="16" t="inlineStr">
        <is>
          <t>室長</t>
        </is>
      </c>
      <c r="C155" s="5" t="inlineStr">
        <is>
          <t>B-1. ログイン・起動・保存まわり（</t>
        </is>
      </c>
      <c r="D155" s="16" t="inlineStr">
        <is>
          <t>全教室</t>
        </is>
      </c>
      <c r="E155" s="5" t="inlineStr">
        <is>
          <t>この教室のバックアップを書き出しました。</t>
        </is>
      </c>
      <c r="F155" s="5" t="inlineStr">
        <is>
          <t>手動バックアップ</t>
        </is>
      </c>
      <c r="G155" s="5" t="inlineStr">
        <is>
          <t>App.tsx</t>
        </is>
      </c>
      <c r="H155" s="16" t="inlineStr">
        <is>
          <t>5048</t>
        </is>
      </c>
      <c r="I155" s="5" t="inlineStr"/>
      <c r="J155" s="6" t="n"/>
      <c r="K155" s="14" t="n"/>
      <c r="L155" s="6" t="n"/>
    </row>
    <row r="156">
      <c r="A156" s="16" t="n">
        <v>155</v>
      </c>
      <c r="B156" s="16" t="inlineStr">
        <is>
          <t>室長</t>
        </is>
      </c>
      <c r="C156" s="5" t="inlineStr">
        <is>
          <t>B-1. ログイン・起動・保存まわり（</t>
        </is>
      </c>
      <c r="D156" s="16" t="inlineStr">
        <is>
          <t>全教室</t>
        </is>
      </c>
      <c r="E156" s="5" t="inlineStr">
        <is>
          <t>基本データを初期取り込みします。</t>
        </is>
      </c>
      <c r="F156" s="5" t="inlineStr">
        <is>
          <t>初期取り込みの確認</t>
        </is>
      </c>
      <c r="G156" s="5" t="inlineStr">
        <is>
          <t>App.tsx</t>
        </is>
      </c>
      <c r="H156" s="16" t="inlineStr">
        <is>
          <t>5460–5462</t>
        </is>
      </c>
      <c r="I156" s="15" t="inlineStr">
        <is>
          <t>要確認</t>
        </is>
      </c>
      <c r="J156" s="6" t="n"/>
      <c r="K156" s="14" t="n"/>
      <c r="L156" s="6" t="n"/>
    </row>
    <row r="157">
      <c r="A157" s="16" t="n">
        <v>156</v>
      </c>
      <c r="B157" s="16" t="inlineStr">
        <is>
          <t>室長</t>
        </is>
      </c>
      <c r="C157" s="5" t="inlineStr">
        <is>
          <t>B-1. ログイン・起動・保存まわり（</t>
        </is>
      </c>
      <c r="D157" s="16" t="inlineStr">
        <is>
          <t>全教室</t>
        </is>
      </c>
      <c r="E157" s="5" t="inlineStr">
        <is>
          <t>現在の基本データ、自動割振ルール、盤面、開始時点ストックは初期化されます。</t>
        </is>
      </c>
      <c r="F157" s="5" t="inlineStr">
        <is>
          <t>初期取り込みの確認</t>
        </is>
      </c>
      <c r="G157" s="5" t="inlineStr">
        <is>
          <t>App.tsx</t>
        </is>
      </c>
      <c r="H157" s="16" t="inlineStr">
        <is>
          <t>5460–5462</t>
        </is>
      </c>
      <c r="I157" s="15" t="inlineStr">
        <is>
          <t>要確認</t>
        </is>
      </c>
      <c r="J157" s="6" t="n"/>
      <c r="K157" s="14" t="n"/>
      <c r="L157" s="6" t="n"/>
    </row>
    <row r="158">
      <c r="A158" s="16" t="n">
        <v>157</v>
      </c>
      <c r="B158" s="16" t="inlineStr">
        <is>
          <t>室長</t>
        </is>
      </c>
      <c r="C158" s="5" t="inlineStr">
        <is>
          <t>B-1. ログイン・起動・保存まわり（</t>
        </is>
      </c>
      <c r="D158" s="16" t="inlineStr">
        <is>
          <t>全教室</t>
        </is>
      </c>
      <c r="E158" s="5" t="inlineStr">
        <is>
          <t>続行しますか?</t>
        </is>
      </c>
      <c r="F158" s="5" t="inlineStr">
        <is>
          <t>初期取り込みの確認</t>
        </is>
      </c>
      <c r="G158" s="5" t="inlineStr">
        <is>
          <t>App.tsx</t>
        </is>
      </c>
      <c r="H158" s="16" t="inlineStr">
        <is>
          <t>5460–5462</t>
        </is>
      </c>
      <c r="I158" s="15" t="inlineStr">
        <is>
          <t>要確認</t>
        </is>
      </c>
      <c r="J158" s="6" t="n"/>
      <c r="K158" s="14" t="n"/>
      <c r="L158" s="6" t="n"/>
    </row>
    <row r="159">
      <c r="A159" s="16" t="n">
        <v>158</v>
      </c>
      <c r="B159" s="16" t="inlineStr">
        <is>
          <t>室長</t>
        </is>
      </c>
      <c r="C159" s="5" t="inlineStr">
        <is>
          <t>B-1. ログイン・起動・保存まわり（</t>
        </is>
      </c>
      <c r="D159" s="16" t="inlineStr">
        <is>
          <t>全教室</t>
        </is>
      </c>
      <c r="E159" s="5" t="inlineStr">
        <is>
          <t>基本データの取り込みを中断しました。</t>
        </is>
      </c>
      <c r="F159" s="5" t="inlineStr">
        <is>
          <t>取り込み中断</t>
        </is>
      </c>
      <c r="G159" s="5" t="inlineStr">
        <is>
          <t>App.tsx / 5537–5538</t>
        </is>
      </c>
      <c r="H159" s="16" t="inlineStr">
        <is>
          <t xml:space="preserve">5488–5489 / </t>
        </is>
      </c>
      <c r="I159" s="5" t="inlineStr"/>
      <c r="J159" s="6" t="n"/>
      <c r="K159" s="14" t="n"/>
      <c r="L159" s="6" t="n"/>
    </row>
    <row r="160">
      <c r="A160" s="16" t="n">
        <v>159</v>
      </c>
      <c r="B160" s="16" t="inlineStr">
        <is>
          <t>室長</t>
        </is>
      </c>
      <c r="C160" s="5" t="inlineStr">
        <is>
          <t>B-1. ログイン・起動・保存まわり（</t>
        </is>
      </c>
      <c r="D160" s="16" t="inlineStr">
        <is>
          <t>全教室</t>
        </is>
      </c>
      <c r="E160" s="5" t="inlineStr">
        <is>
          <t>以下の矛盾をすべて修正してから再取り込みしてください。</t>
        </is>
      </c>
      <c r="F160" s="5" t="inlineStr">
        <is>
          <t>取り込み中断</t>
        </is>
      </c>
      <c r="G160" s="5" t="inlineStr">
        <is>
          <t>App.tsx / 5537–5538</t>
        </is>
      </c>
      <c r="H160" s="16" t="inlineStr">
        <is>
          <t xml:space="preserve">5488–5489 / </t>
        </is>
      </c>
      <c r="I160" s="5" t="inlineStr"/>
      <c r="J160" s="6" t="n"/>
      <c r="K160" s="14" t="n"/>
      <c r="L160" s="6" t="n"/>
    </row>
    <row r="161">
      <c r="A161" s="16" t="n">
        <v>160</v>
      </c>
      <c r="B161" s="16" t="inlineStr">
        <is>
          <t>室長</t>
        </is>
      </c>
      <c r="C161" s="5" t="inlineStr">
        <is>
          <t>B-1. ログイン・起動・保存まわり（</t>
        </is>
      </c>
      <c r="D161" s="16" t="inlineStr">
        <is>
          <t>全教室</t>
        </is>
      </c>
      <c r="E161" s="5" t="inlineStr">
        <is>
          <t>基本データを初期取り込みしました。特別講習、ルール、盤面、開始時点ストックは初期化しました。</t>
        </is>
      </c>
      <c r="F161" s="5" t="inlineStr">
        <is>
          <t>取り込み完了</t>
        </is>
      </c>
      <c r="G161" s="5" t="inlineStr">
        <is>
          <t>App.tsx</t>
        </is>
      </c>
      <c r="H161" s="16" t="inlineStr">
        <is>
          <t>5520</t>
        </is>
      </c>
      <c r="I161" s="5" t="inlineStr"/>
      <c r="J161" s="6" t="n"/>
      <c r="K161" s="14" t="n"/>
      <c r="L161" s="6" t="n"/>
    </row>
    <row r="162">
      <c r="A162" s="16" t="n">
        <v>161</v>
      </c>
      <c r="B162" s="16" t="inlineStr">
        <is>
          <t>室長</t>
        </is>
      </c>
      <c r="C162" s="5" t="inlineStr">
        <is>
          <t>B-1. ログイン・起動・保存まわり（</t>
        </is>
      </c>
      <c r="D162" s="16" t="inlineStr">
        <is>
          <t>全教室</t>
        </is>
      </c>
      <c r="E162" s="5" t="inlineStr">
        <is>
          <t>基本データの Excel 初期取り込みに失敗しました。シート名と列名を確認してください。</t>
        </is>
      </c>
      <c r="F162" s="5" t="inlineStr">
        <is>
          <t>取り込み失敗</t>
        </is>
      </c>
      <c r="G162" s="5" t="inlineStr">
        <is>
          <t>App.tsx</t>
        </is>
      </c>
      <c r="H162" s="16" t="inlineStr">
        <is>
          <t>5522</t>
        </is>
      </c>
      <c r="I162" s="5" t="inlineStr"/>
      <c r="J162" s="6" t="n"/>
      <c r="K162" s="14" t="n"/>
      <c r="L162" s="6" t="n"/>
    </row>
    <row r="163">
      <c r="A163" s="16" t="n">
        <v>162</v>
      </c>
      <c r="B163" s="16" t="inlineStr">
        <is>
          <t>室長</t>
        </is>
      </c>
      <c r="C163" s="5" t="inlineStr">
        <is>
          <t>B-1. ログイン・起動・保存まわり（</t>
        </is>
      </c>
      <c r="D163" s="16" t="inlineStr">
        <is>
          <t>全教室</t>
        </is>
      </c>
      <c r="E163" s="5" t="inlineStr">
        <is>
          <t>基本データを Excel から取り込みました。初期盤面を生成しました。</t>
        </is>
      </c>
      <c r="F163" s="5" t="inlineStr">
        <is>
          <t>差分取り込み</t>
        </is>
      </c>
      <c r="G163" s="5" t="inlineStr">
        <is>
          <t>App.tsx / 5568</t>
        </is>
      </c>
      <c r="H163" s="16" t="inlineStr">
        <is>
          <t xml:space="preserve">5566 / </t>
        </is>
      </c>
      <c r="I163" s="5" t="inlineStr"/>
      <c r="J163" s="6" t="n"/>
      <c r="K163" s="14" t="n"/>
      <c r="L163" s="6" t="n"/>
    </row>
    <row r="164">
      <c r="A164" s="16" t="n">
        <v>163</v>
      </c>
      <c r="B164" s="16" t="inlineStr">
        <is>
          <t>室長</t>
        </is>
      </c>
      <c r="C164" s="5" t="inlineStr">
        <is>
          <t>B-1. ログイン・起動・保存まわり（</t>
        </is>
      </c>
      <c r="D164" s="16" t="inlineStr">
        <is>
          <t>全教室</t>
        </is>
      </c>
      <c r="E164" s="5" t="inlineStr">
        <is>
          <t>基本データの差分を Excel から取り込みました。特別講習、ルール、盤面、ストックは保持しています。</t>
        </is>
      </c>
      <c r="F164" s="5" t="inlineStr">
        <is>
          <t>差分取り込み</t>
        </is>
      </c>
      <c r="G164" s="5" t="inlineStr">
        <is>
          <t>App.tsx / 5568</t>
        </is>
      </c>
      <c r="H164" s="16" t="inlineStr">
        <is>
          <t xml:space="preserve">5566 / </t>
        </is>
      </c>
      <c r="I164" s="5" t="inlineStr"/>
      <c r="J164" s="6" t="n"/>
      <c r="K164" s="14" t="n"/>
      <c r="L164" s="6" t="n"/>
    </row>
    <row r="165">
      <c r="A165" s="16" t="n">
        <v>164</v>
      </c>
      <c r="B165" s="16" t="inlineStr">
        <is>
          <t>室長</t>
        </is>
      </c>
      <c r="C165" s="5" t="inlineStr">
        <is>
          <t>B-1. ログイン・起動・保存まわり（</t>
        </is>
      </c>
      <c r="D165" s="16" t="inlineStr">
        <is>
          <t>全教室</t>
        </is>
      </c>
      <c r="E165" s="5" t="inlineStr">
        <is>
          <t>特別講習データ / 自動割振ルールを Excel から取り込みました。 ほか Excel 入出力の完了・失敗</t>
        </is>
      </c>
      <c r="F165" s="5" t="inlineStr">
        <is>
          <t>各 Excel ボタン</t>
        </is>
      </c>
      <c r="G165" s="5" t="inlineStr">
        <is>
          <t>App.tsx</t>
        </is>
      </c>
      <c r="H165" s="16" t="inlineStr">
        <is>
          <t>5578–5631</t>
        </is>
      </c>
      <c r="I165" s="5" t="inlineStr"/>
      <c r="J165" s="6" t="n"/>
      <c r="K165" s="14" t="n"/>
      <c r="L165" s="6" t="n"/>
    </row>
    <row r="166">
      <c r="A166" s="16" t="n">
        <v>165</v>
      </c>
      <c r="B166" s="16" t="inlineStr">
        <is>
          <t>室長</t>
        </is>
      </c>
      <c r="C166" s="5" t="inlineStr">
        <is>
          <t>B-1. ログイン・起動・保存まわり（</t>
        </is>
      </c>
      <c r="D166" s="16" t="inlineStr">
        <is>
          <t>全教室</t>
        </is>
      </c>
      <c r="E166" s="5" t="inlineStr">
        <is>
          <t>初期設定を完了し、管理データと開始時点ストックを反映したコマ表にリセットしました。</t>
        </is>
      </c>
      <c r="F166" s="5" t="inlineStr">
        <is>
          <t>初期設定完了</t>
        </is>
      </c>
      <c r="G166" s="5" t="inlineStr">
        <is>
          <t>App.tsx</t>
        </is>
      </c>
      <c r="H166" s="16" t="inlineStr">
        <is>
          <t>5648</t>
        </is>
      </c>
      <c r="I166" s="5" t="inlineStr"/>
      <c r="J166" s="6" t="n"/>
      <c r="K166" s="14" t="n"/>
      <c r="L166" s="6" t="n"/>
    </row>
    <row r="167">
      <c r="A167" s="16" t="n">
        <v>166</v>
      </c>
      <c r="B167" s="16" t="inlineStr">
        <is>
          <t>室長</t>
        </is>
      </c>
      <c r="C167" s="5" t="inlineStr">
        <is>
          <t>B-1. ログイン・起動・保存まわり（</t>
        </is>
      </c>
      <c r="D167" s="16" t="inlineStr">
        <is>
          <t>全教室</t>
        </is>
      </c>
      <c r="E167" s="5" t="inlineStr">
        <is>
          <t>テンプレート上書き前のバックアップを保存しました。</t>
        </is>
      </c>
      <c r="F167" s="5" t="inlineStr">
        <is>
          <t>テンプレ上書き</t>
        </is>
      </c>
      <c r="G167" s="5" t="inlineStr">
        <is>
          <t>App.tsx</t>
        </is>
      </c>
      <c r="H167" s="16" t="inlineStr">
        <is>
          <t>5021</t>
        </is>
      </c>
      <c r="I167" s="5" t="inlineStr"/>
      <c r="J167" s="6" t="n"/>
      <c r="K167" s="14" t="n"/>
      <c r="L167" s="6" t="n"/>
    </row>
    <row r="168">
      <c r="A168" s="16" t="n">
        <v>167</v>
      </c>
      <c r="B168" s="16" t="inlineStr">
        <is>
          <t>室長</t>
        </is>
      </c>
      <c r="C168" s="5" t="inlineStr">
        <is>
          <t>B-1. ログイン・起動・保存まわり（</t>
        </is>
      </c>
      <c r="D168" s="16" t="inlineStr">
        <is>
          <t>全教室</t>
        </is>
      </c>
      <c r="E168" s="5" t="inlineStr">
        <is>
          <t>教室設定を更新しました。</t>
        </is>
      </c>
      <c r="F168" s="5" t="inlineStr">
        <is>
          <t>教室運用確認</t>
        </is>
      </c>
      <c r="G168" s="5" t="inlineStr">
        <is>
          <t>App.tsx</t>
        </is>
      </c>
      <c r="H168" s="16" t="inlineStr">
        <is>
          <t>3096</t>
        </is>
      </c>
      <c r="I168" s="5" t="inlineStr"/>
      <c r="J168" s="6" t="n"/>
      <c r="K168" s="14" t="n"/>
      <c r="L168" s="6" t="n"/>
    </row>
    <row r="169">
      <c r="A169" s="16" t="n">
        <v>168</v>
      </c>
      <c r="B169" s="16" t="inlineStr">
        <is>
          <t>室長</t>
        </is>
      </c>
      <c r="C169" s="5" t="inlineStr">
        <is>
          <t>B-1. ログイン・起動・保存まわり（</t>
        </is>
      </c>
      <c r="D169" s="16" t="inlineStr">
        <is>
          <t>全教室</t>
        </is>
      </c>
      <c r="E169" s="5" t="inlineStr">
        <is>
          <t>オフラインのため使用できません</t>
        </is>
      </c>
      <c r="F169" s="5" t="inlineStr">
        <is>
          <t>オフライン時の覆い</t>
        </is>
      </c>
      <c r="G169" s="5" t="inlineStr">
        <is>
          <t>src / components / OfflineGate.tsx</t>
        </is>
      </c>
      <c r="H169" s="16" t="inlineStr">
        <is>
          <t xml:space="preserve"> /  / 45–48</t>
        </is>
      </c>
      <c r="I169" s="5" t="inlineStr"/>
      <c r="J169" s="6" t="n"/>
      <c r="K169" s="14" t="n"/>
      <c r="L169" s="6" t="n"/>
    </row>
    <row r="170">
      <c r="A170" s="16" t="n">
        <v>169</v>
      </c>
      <c r="B170" s="16" t="inlineStr">
        <is>
          <t>室長</t>
        </is>
      </c>
      <c r="C170" s="5" t="inlineStr">
        <is>
          <t>B-1. ログイン・起動・保存まわり（</t>
        </is>
      </c>
      <c r="D170" s="16" t="inlineStr">
        <is>
          <t>全教室</t>
        </is>
      </c>
      <c r="E170" s="5" t="inlineStr">
        <is>
          <t>このアプリはインターネット接続が必要です。</t>
        </is>
      </c>
      <c r="F170" s="5" t="inlineStr">
        <is>
          <t>オフライン時の覆い</t>
        </is>
      </c>
      <c r="G170" s="5" t="inlineStr">
        <is>
          <t>src / components / OfflineGate.tsx</t>
        </is>
      </c>
      <c r="H170" s="16" t="inlineStr">
        <is>
          <t xml:space="preserve"> /  / 45–48</t>
        </is>
      </c>
      <c r="I170" s="5" t="inlineStr"/>
      <c r="J170" s="6" t="n"/>
      <c r="K170" s="14" t="n"/>
      <c r="L170" s="6" t="n"/>
    </row>
    <row r="171">
      <c r="A171" s="16" t="n">
        <v>170</v>
      </c>
      <c r="B171" s="16" t="inlineStr">
        <is>
          <t>室長</t>
        </is>
      </c>
      <c r="C171" s="5" t="inlineStr">
        <is>
          <t>B-1. ログイン・起動・保存まわり（</t>
        </is>
      </c>
      <c r="D171" s="16" t="inlineStr">
        <is>
          <t>全教室</t>
        </is>
      </c>
      <c r="E171" s="5" t="inlineStr">
        <is>
          <t>接続状況をご確認ください。</t>
        </is>
      </c>
      <c r="F171" s="5" t="inlineStr">
        <is>
          <t>オフライン時の覆い</t>
        </is>
      </c>
      <c r="G171" s="5" t="inlineStr">
        <is>
          <t>src / components / OfflineGate.tsx</t>
        </is>
      </c>
      <c r="H171" s="16" t="inlineStr">
        <is>
          <t xml:space="preserve"> /  / 45–48</t>
        </is>
      </c>
      <c r="I171" s="5" t="inlineStr"/>
      <c r="J171" s="6" t="n"/>
      <c r="K171" s="14" t="n"/>
      <c r="L171" s="6" t="n"/>
    </row>
    <row r="172">
      <c r="A172" s="16" t="n">
        <v>171</v>
      </c>
      <c r="B172" s="16" t="inlineStr">
        <is>
          <t>室長</t>
        </is>
      </c>
      <c r="C172" s="5" t="inlineStr">
        <is>
          <t>B-1. ログイン・起動・保存まわり（</t>
        </is>
      </c>
      <c r="D172" s="16" t="inlineStr">
        <is>
          <t>全教室</t>
        </is>
      </c>
      <c r="E172" s="5" t="inlineStr">
        <is>
          <t>接続が回復すると自動的に操作できるようになります。</t>
        </is>
      </c>
      <c r="F172" s="5" t="inlineStr">
        <is>
          <t>オフライン時の覆い</t>
        </is>
      </c>
      <c r="G172" s="5" t="inlineStr">
        <is>
          <t>src / components / OfflineGate.tsx</t>
        </is>
      </c>
      <c r="H172" s="16" t="inlineStr">
        <is>
          <t xml:space="preserve"> /  / 45–48</t>
        </is>
      </c>
      <c r="I172" s="5" t="inlineStr"/>
      <c r="J172" s="6" t="n"/>
      <c r="K172" s="14" t="n"/>
      <c r="L172" s="6" t="n"/>
    </row>
    <row r="173">
      <c r="A173" s="16" t="n">
        <v>172</v>
      </c>
      <c r="B173" s="16" t="inlineStr">
        <is>
          <t>室長</t>
        </is>
      </c>
      <c r="C173" s="5" t="inlineStr">
        <is>
          <t>B-1. ログイン・起動・保存まわり（</t>
        </is>
      </c>
      <c r="D173" s="16" t="inlineStr">
        <is>
          <t>全教室</t>
        </is>
      </c>
      <c r="E173" s="5" t="inlineStr">
        <is>
          <t>最新版の読み込みに失敗しました。</t>
        </is>
      </c>
      <c r="F173" s="5" t="inlineStr">
        <is>
          <t>起動時のバンドル取得失敗</t>
        </is>
      </c>
      <c r="G173" s="5" t="inlineStr">
        <is>
          <t>src / main.tsx</t>
        </is>
      </c>
      <c r="H173" s="16" t="inlineStr">
        <is>
          <t xml:space="preserve"> / 54–56</t>
        </is>
      </c>
      <c r="I173" s="5" t="inlineStr"/>
      <c r="J173" s="6" t="n"/>
      <c r="K173" s="14" t="n"/>
      <c r="L173" s="6" t="n"/>
    </row>
    <row r="174">
      <c r="A174" s="16" t="n">
        <v>173</v>
      </c>
      <c r="B174" s="16" t="inlineStr">
        <is>
          <t>室長</t>
        </is>
      </c>
      <c r="C174" s="5" t="inlineStr">
        <is>
          <t>B-1. ログイン・起動・保存まわり（</t>
        </is>
      </c>
      <c r="D174" s="16" t="inlineStr">
        <is>
          <t>全教室</t>
        </is>
      </c>
      <c r="E174" s="5" t="inlineStr">
        <is>
          <t>ページを再読み込みしてください。</t>
        </is>
      </c>
      <c r="F174" s="5" t="inlineStr">
        <is>
          <t>起動時のバンドル取得失敗</t>
        </is>
      </c>
      <c r="G174" s="5" t="inlineStr">
        <is>
          <t>src / main.tsx</t>
        </is>
      </c>
      <c r="H174" s="16" t="inlineStr">
        <is>
          <t xml:space="preserve"> / 54–56</t>
        </is>
      </c>
      <c r="I174" s="5" t="inlineStr"/>
      <c r="J174" s="6" t="n"/>
      <c r="K174" s="14" t="n"/>
      <c r="L174" s="6" t="n"/>
    </row>
    <row r="175">
      <c r="A175" s="16" t="n">
        <v>174</v>
      </c>
      <c r="B175" s="16" t="inlineStr">
        <is>
          <t>室長</t>
        </is>
      </c>
      <c r="C175" s="5" t="inlineStr">
        <is>
          <t>B-1. ログイン・起動・保存まわり（</t>
        </is>
      </c>
      <c r="D175" s="16" t="inlineStr">
        <is>
          <t>全教室</t>
        </is>
      </c>
      <c r="E175" s="5" t="inlineStr">
        <is>
          <t>再読み込み</t>
        </is>
      </c>
      <c r="F175" s="5" t="inlineStr">
        <is>
          <t>起動時のバンドル取得失敗</t>
        </is>
      </c>
      <c r="G175" s="5" t="inlineStr">
        <is>
          <t>src / main.tsx</t>
        </is>
      </c>
      <c r="H175" s="16" t="inlineStr">
        <is>
          <t xml:space="preserve"> / 54–56</t>
        </is>
      </c>
      <c r="I175" s="5" t="inlineStr"/>
      <c r="J175" s="6" t="n"/>
      <c r="K175" s="14" t="n"/>
      <c r="L175" s="6" t="n"/>
    </row>
    <row r="176">
      <c r="A176" s="12" t="n">
        <v>175</v>
      </c>
      <c r="B176" s="12" t="inlineStr">
        <is>
          <t>室長</t>
        </is>
      </c>
      <c r="C176" s="13" t="inlineStr">
        <is>
          <t>B-2. コマ表（盤面）</t>
        </is>
      </c>
      <c r="D176" s="12" t="inlineStr">
        <is>
          <t>全教室</t>
        </is>
      </c>
      <c r="E176" s="13" t="inlineStr">
        <is>
          <t>左クリックで生徒を選ぶか、空欄の生徒マスを左クリックしてメモを保存できます。</t>
        </is>
      </c>
      <c r="F176" s="13" t="inlineStr">
        <is>
          <t>盤面の既定ガイド</t>
        </is>
      </c>
      <c r="G176" s="13" t="inlineStr">
        <is>
          <t>ScheduleBoardScreen.tsx</t>
        </is>
      </c>
      <c r="H176" s="12" t="inlineStr">
        <is>
          <t>5491</t>
        </is>
      </c>
      <c r="I176" s="13" t="inlineStr"/>
      <c r="J176" s="6" t="n"/>
      <c r="K176" s="14" t="n"/>
      <c r="L176" s="6" t="n"/>
    </row>
    <row r="177">
      <c r="A177" s="12" t="n">
        <v>176</v>
      </c>
      <c r="B177" s="12" t="inlineStr">
        <is>
          <t>室長</t>
        </is>
      </c>
      <c r="C177" s="13" t="inlineStr">
        <is>
          <t>B-2. コマ表（盤面）</t>
        </is>
      </c>
      <c r="D177" s="12" t="inlineStr">
        <is>
          <t>全教室</t>
        </is>
      </c>
      <c r="E177" s="13" t="inlineStr">
        <is>
          <t>◯◯ を選択しました。移動先セルを左クリックしてください。（移動先に生徒がいる場合は入れ替えます）</t>
        </is>
      </c>
      <c r="F177" s="13" t="inlineStr">
        <is>
          <t>「移動」を選んだとき</t>
        </is>
      </c>
      <c r="G177" s="13" t="inlineStr">
        <is>
          <t>ScheduleBoardScreen.tsx / 8301</t>
        </is>
      </c>
      <c r="H177" s="12" t="inlineStr">
        <is>
          <t xml:space="preserve">10622 / </t>
        </is>
      </c>
      <c r="I177" s="13" t="inlineStr"/>
      <c r="J177" s="6" t="n"/>
      <c r="K177" s="14" t="n"/>
      <c r="L177" s="6" t="n"/>
    </row>
    <row r="178">
      <c r="A178" s="12" t="n">
        <v>177</v>
      </c>
      <c r="B178" s="12" t="inlineStr">
        <is>
          <t>室長</t>
        </is>
      </c>
      <c r="C178" s="13" t="inlineStr">
        <is>
          <t>B-2. コマ表（盤面）</t>
        </is>
      </c>
      <c r="D178" s="12" t="inlineStr">
        <is>
          <t>全教室</t>
        </is>
      </c>
      <c r="E178" s="13" t="inlineStr">
        <is>
          <t>◯◯ の未消化振替を選択しました。空欄セルを左クリックしてください。</t>
        </is>
      </c>
      <c r="F178" s="13" t="inlineStr">
        <is>
          <t>未消化振替の配置</t>
        </is>
      </c>
      <c r="G178" s="13" t="inlineStr">
        <is>
          <t>ScheduleBoardScreen.tsx</t>
        </is>
      </c>
      <c r="H178" s="12" t="inlineStr">
        <is>
          <t>11907</t>
        </is>
      </c>
      <c r="I178" s="13" t="inlineStr"/>
      <c r="J178" s="6" t="n"/>
      <c r="K178" s="14" t="n"/>
      <c r="L178" s="6" t="n"/>
    </row>
    <row r="179">
      <c r="A179" s="12" t="n">
        <v>178</v>
      </c>
      <c r="B179" s="12" t="inlineStr">
        <is>
          <t>室長</t>
        </is>
      </c>
      <c r="C179" s="13" t="inlineStr">
        <is>
          <t>B-2. コマ表（盤面）</t>
        </is>
      </c>
      <c r="D179" s="12" t="inlineStr">
        <is>
          <t>全教室</t>
        </is>
      </c>
      <c r="E179" s="13" t="inlineStr">
        <is>
          <t>◯◯ の未消化講習を選択しました。空欄セルを左クリックしてください。</t>
        </is>
      </c>
      <c r="F179" s="13" t="inlineStr">
        <is>
          <t>未消化講習の配置</t>
        </is>
      </c>
      <c r="G179" s="13" t="inlineStr">
        <is>
          <t>ScheduleBoardScreen.tsx</t>
        </is>
      </c>
      <c r="H179" s="12" t="inlineStr">
        <is>
          <t>11883</t>
        </is>
      </c>
      <c r="I179" s="13" t="inlineStr"/>
      <c r="J179" s="6" t="n"/>
      <c r="K179" s="14" t="n"/>
      <c r="L179" s="6" t="n"/>
    </row>
    <row r="180">
      <c r="A180" s="12" t="n">
        <v>179</v>
      </c>
      <c r="B180" s="12" t="inlineStr">
        <is>
          <t>室長</t>
        </is>
      </c>
      <c r="C180" s="13" t="inlineStr">
        <is>
          <t>B-2. コマ表（盤面）</t>
        </is>
      </c>
      <c r="D180" s="12" t="inlineStr">
        <is>
          <t>全教室</t>
        </is>
      </c>
      <c r="E180" s="13" t="inlineStr">
        <is>
          <t>未消化振替一覧を開きました。生徒を選ぶと空欄セルへ配置できます。</t>
        </is>
      </c>
      <c r="F180" s="13" t="inlineStr">
        <is>
          <t>一覧を開いたとき</t>
        </is>
      </c>
      <c r="G180" s="13" t="inlineStr">
        <is>
          <t>ScheduleBoardScreen.tsx</t>
        </is>
      </c>
      <c r="H180" s="12" t="inlineStr">
        <is>
          <t>11838</t>
        </is>
      </c>
      <c r="I180" s="13" t="inlineStr"/>
      <c r="J180" s="6" t="n"/>
      <c r="K180" s="14" t="n"/>
      <c r="L180" s="6" t="n"/>
    </row>
    <row r="181">
      <c r="A181" s="12" t="n">
        <v>180</v>
      </c>
      <c r="B181" s="12" t="inlineStr">
        <is>
          <t>室長</t>
        </is>
      </c>
      <c r="C181" s="13" t="inlineStr">
        <is>
          <t>B-2. コマ表（盤面）</t>
        </is>
      </c>
      <c r="D181" s="12" t="inlineStr">
        <is>
          <t>全教室</t>
        </is>
      </c>
      <c r="E181" s="13" t="inlineStr">
        <is>
          <t>未消化講習一覧を開きました。生徒を選ぶと空欄セルへ配置できます。</t>
        </is>
      </c>
      <c r="F181" s="13" t="inlineStr">
        <is>
          <t>同上</t>
        </is>
      </c>
      <c r="G181" s="13" t="inlineStr">
        <is>
          <t>ScheduleBoardScreen.tsx</t>
        </is>
      </c>
      <c r="H181" s="12" t="inlineStr">
        <is>
          <t>11858</t>
        </is>
      </c>
      <c r="I181" s="13" t="inlineStr"/>
      <c r="J181" s="6" t="n"/>
      <c r="K181" s="14" t="n"/>
      <c r="L181" s="6" t="n"/>
    </row>
    <row r="182">
      <c r="A182" s="12" t="n">
        <v>181</v>
      </c>
      <c r="B182" s="12" t="inlineStr">
        <is>
          <t>室長</t>
        </is>
      </c>
      <c r="C182" s="13" t="inlineStr">
        <is>
          <t>B-2. コマ表（盤面）</t>
        </is>
      </c>
      <c r="D182" s="12" t="inlineStr">
        <is>
          <t>全教室</t>
        </is>
      </c>
      <c r="E182" s="13" t="inlineStr">
        <is>
          <t>振替作業中です。終了する場合はキャンセルを押してください。</t>
        </is>
      </c>
      <c r="F182" s="13" t="inlineStr">
        <is>
          <t>配置中</t>
        </is>
      </c>
      <c r="G182" s="13" t="inlineStr">
        <is>
          <t>ScheduleBoardScreen.tsx</t>
        </is>
      </c>
      <c r="H182" s="12" t="inlineStr">
        <is>
          <t>11828</t>
        </is>
      </c>
      <c r="I182" s="13" t="inlineStr"/>
      <c r="J182" s="6" t="n"/>
      <c r="K182" s="14" t="n"/>
      <c r="L182" s="6" t="n"/>
    </row>
    <row r="183">
      <c r="A183" s="12" t="n">
        <v>182</v>
      </c>
      <c r="B183" s="12" t="inlineStr">
        <is>
          <t>室長</t>
        </is>
      </c>
      <c r="C183" s="13" t="inlineStr">
        <is>
          <t>B-2. コマ表（盤面）</t>
        </is>
      </c>
      <c r="D183" s="12" t="inlineStr">
        <is>
          <t>全教室</t>
        </is>
      </c>
      <c r="E183" s="13" t="inlineStr">
        <is>
          <t>講習配置中です。終了する場合はキャンセルを押してください。</t>
        </is>
      </c>
      <c r="F183" s="13" t="inlineStr">
        <is>
          <t>配置中</t>
        </is>
      </c>
      <c r="G183" s="13" t="inlineStr">
        <is>
          <t>ScheduleBoardScreen.tsx</t>
        </is>
      </c>
      <c r="H183" s="12" t="inlineStr">
        <is>
          <t>11848</t>
        </is>
      </c>
      <c r="I183" s="13" t="inlineStr"/>
      <c r="J183" s="6" t="n"/>
      <c r="K183" s="14" t="n"/>
      <c r="L183" s="6" t="n"/>
    </row>
    <row r="184">
      <c r="A184" s="12" t="n">
        <v>183</v>
      </c>
      <c r="B184" s="12" t="inlineStr">
        <is>
          <t>室長</t>
        </is>
      </c>
      <c r="C184" s="13" t="inlineStr">
        <is>
          <t>B-2. コマ表（盤面）</t>
        </is>
      </c>
      <c r="D184" s="12" t="inlineStr">
        <is>
          <t>全教室</t>
        </is>
      </c>
      <c r="E184" s="13" t="inlineStr">
        <is>
          <t>配置したい未消化振替を選んでください。空欄セルをクリックして配置します。</t>
        </is>
      </c>
      <c r="F184" s="13" t="inlineStr">
        <is>
          <t>未消化振替パネル</t>
        </is>
      </c>
      <c r="G184" s="13" t="inlineStr">
        <is>
          <t>ScheduleBoardScreen.tsx</t>
        </is>
      </c>
      <c r="H184" s="12" t="inlineStr">
        <is>
          <t>12399</t>
        </is>
      </c>
      <c r="I184" s="13" t="inlineStr"/>
      <c r="J184" s="6" t="n"/>
      <c r="K184" s="14" t="n"/>
      <c r="L184" s="6" t="n"/>
    </row>
    <row r="185">
      <c r="A185" s="12" t="n">
        <v>184</v>
      </c>
      <c r="B185" s="12" t="inlineStr">
        <is>
          <t>室長</t>
        </is>
      </c>
      <c r="C185" s="13" t="inlineStr">
        <is>
          <t>B-2. コマ表（盤面）</t>
        </is>
      </c>
      <c r="D185" s="12" t="inlineStr">
        <is>
          <t>全教室</t>
        </is>
      </c>
      <c r="E185" s="13" t="inlineStr">
        <is>
          <t>未消化の講習を選んで個別割振するか、自動割振で一括配置します。</t>
        </is>
      </c>
      <c r="F185" s="13" t="inlineStr">
        <is>
          <t>未消化講習パネル</t>
        </is>
      </c>
      <c r="G185" s="13" t="inlineStr">
        <is>
          <t>ScheduleBoardScreen.tsx</t>
        </is>
      </c>
      <c r="H185" s="12" t="inlineStr">
        <is>
          <t>12297</t>
        </is>
      </c>
      <c r="I185" s="13" t="inlineStr"/>
      <c r="J185" s="6" t="n"/>
      <c r="K185" s="14" t="n"/>
      <c r="L185" s="6" t="n"/>
    </row>
    <row r="186">
      <c r="A186" s="12" t="n">
        <v>185</v>
      </c>
      <c r="B186" s="12" t="inlineStr">
        <is>
          <t>室長</t>
        </is>
      </c>
      <c r="C186" s="13" t="inlineStr">
        <is>
          <t>B-2. コマ表（盤面）</t>
        </is>
      </c>
      <c r="D186" s="12" t="inlineStr">
        <is>
          <t>全教室</t>
        </is>
      </c>
      <c r="E186" s="13" t="inlineStr">
        <is>
          <t>残数のある生徒を選ぶと未消化一覧を表示します。表示名で検索できます。</t>
        </is>
      </c>
      <c r="F186" s="13" t="inlineStr">
        <is>
          <t>同パネル</t>
        </is>
      </c>
      <c r="G186" s="13" t="inlineStr">
        <is>
          <t>ScheduleBoardScreen.tsx</t>
        </is>
      </c>
      <c r="H186" s="12" t="inlineStr">
        <is>
          <t>12575</t>
        </is>
      </c>
      <c r="I186" s="13" t="inlineStr"/>
      <c r="J186" s="6" t="n"/>
      <c r="K186" s="14" t="n"/>
      <c r="L186" s="6" t="n"/>
    </row>
    <row r="187">
      <c r="A187" s="12" t="n">
        <v>186</v>
      </c>
      <c r="B187" s="12" t="inlineStr">
        <is>
          <t>室長</t>
        </is>
      </c>
      <c r="C187" s="13" t="inlineStr">
        <is>
          <t>B-2. コマ表（盤面）</t>
        </is>
      </c>
      <c r="D187" s="12" t="inlineStr">
        <is>
          <t>全教室</t>
        </is>
      </c>
      <c r="E187" s="13" t="inlineStr">
        <is>
          <t>生徒を選ぶと未消化一覧を表示します。表示名で検索できます。</t>
        </is>
      </c>
      <c r="F187" s="13" t="inlineStr">
        <is>
          <t>同パネル</t>
        </is>
      </c>
      <c r="G187" s="13" t="inlineStr">
        <is>
          <t>ScheduleBoardScreen.tsx</t>
        </is>
      </c>
      <c r="H187" s="12" t="inlineStr">
        <is>
          <t>12527</t>
        </is>
      </c>
      <c r="I187" s="13" t="inlineStr"/>
      <c r="J187" s="6" t="n"/>
      <c r="K187" s="14" t="n"/>
      <c r="L187" s="6" t="n"/>
    </row>
    <row r="188">
      <c r="A188" s="12" t="n">
        <v>187</v>
      </c>
      <c r="B188" s="12" t="inlineStr">
        <is>
          <t>室長</t>
        </is>
      </c>
      <c r="C188" s="13" t="inlineStr">
        <is>
          <t>B-2. コマ表（盤面）</t>
        </is>
      </c>
      <c r="D188" s="12" t="inlineStr">
        <is>
          <t>全教室</t>
        </is>
      </c>
      <c r="E188" s="13" t="inlineStr">
        <is>
          <t>現在の未消化振替はありません。</t>
        </is>
      </c>
      <c r="F188" s="13" t="inlineStr">
        <is>
          <t>同パネル</t>
        </is>
      </c>
      <c r="G188" s="13" t="inlineStr">
        <is>
          <t>ScheduleBoardScreen.tsx / 12544</t>
        </is>
      </c>
      <c r="H188" s="12" t="inlineStr">
        <is>
          <t xml:space="preserve">12592 / </t>
        </is>
      </c>
      <c r="I188" s="13" t="inlineStr"/>
      <c r="J188" s="6" t="n"/>
      <c r="K188" s="14" t="n"/>
      <c r="L188" s="6" t="n"/>
    </row>
    <row r="189">
      <c r="A189" s="12" t="n">
        <v>188</v>
      </c>
      <c r="B189" s="12" t="inlineStr">
        <is>
          <t>室長</t>
        </is>
      </c>
      <c r="C189" s="13" t="inlineStr">
        <is>
          <t>B-2. コマ表（盤面）</t>
        </is>
      </c>
      <c r="D189" s="12" t="inlineStr">
        <is>
          <t>全教室</t>
        </is>
      </c>
      <c r="E189" s="13" t="inlineStr">
        <is>
          <t>現在の未消化講習はありません。</t>
        </is>
      </c>
      <c r="F189" s="13" t="inlineStr">
        <is>
          <t>同パネル</t>
        </is>
      </c>
      <c r="G189" s="13" t="inlineStr">
        <is>
          <t>ScheduleBoardScreen.tsx / 12544</t>
        </is>
      </c>
      <c r="H189" s="12" t="inlineStr">
        <is>
          <t xml:space="preserve">12592 / </t>
        </is>
      </c>
      <c r="I189" s="13" t="inlineStr"/>
      <c r="J189" s="6" t="n"/>
      <c r="K189" s="14" t="n"/>
      <c r="L189" s="6" t="n"/>
    </row>
    <row r="190">
      <c r="A190" s="12" t="n">
        <v>189</v>
      </c>
      <c r="B190" s="12" t="inlineStr">
        <is>
          <t>室長</t>
        </is>
      </c>
      <c r="C190" s="13" t="inlineStr">
        <is>
          <t>B-2. コマ表（盤面）</t>
        </is>
      </c>
      <c r="D190" s="12" t="inlineStr">
        <is>
          <t>全教室</t>
        </is>
      </c>
      <c r="E190" s="13" t="inlineStr">
        <is>
          <t>配置可能な未消化振替がありません。</t>
        </is>
      </c>
      <c r="F190" s="13" t="inlineStr">
        <is>
          <t>同パネル</t>
        </is>
      </c>
      <c r="G190" s="13" t="inlineStr">
        <is>
          <t>ScheduleBoardScreen.tsx / 12300</t>
        </is>
      </c>
      <c r="H190" s="12" t="inlineStr">
        <is>
          <t xml:space="preserve">12402 / </t>
        </is>
      </c>
      <c r="I190" s="13" t="inlineStr"/>
      <c r="J190" s="6" t="n"/>
      <c r="K190" s="14" t="n"/>
      <c r="L190" s="6" t="n"/>
    </row>
    <row r="191">
      <c r="A191" s="12" t="n">
        <v>190</v>
      </c>
      <c r="B191" s="12" t="inlineStr">
        <is>
          <t>室長</t>
        </is>
      </c>
      <c r="C191" s="13" t="inlineStr">
        <is>
          <t>B-2. コマ表（盤面）</t>
        </is>
      </c>
      <c r="D191" s="12" t="inlineStr">
        <is>
          <t>全教室</t>
        </is>
      </c>
      <c r="E191" s="13" t="inlineStr">
        <is>
          <t>配置可能な未消化講習がありません。</t>
        </is>
      </c>
      <c r="F191" s="13" t="inlineStr">
        <is>
          <t>同パネル</t>
        </is>
      </c>
      <c r="G191" s="13" t="inlineStr">
        <is>
          <t>ScheduleBoardScreen.tsx / 12300</t>
        </is>
      </c>
      <c r="H191" s="12" t="inlineStr">
        <is>
          <t xml:space="preserve">12402 / </t>
        </is>
      </c>
      <c r="I191" s="13" t="inlineStr"/>
      <c r="J191" s="6" t="n"/>
      <c r="K191" s="14" t="n"/>
      <c r="L191" s="6" t="n"/>
    </row>
    <row r="192">
      <c r="A192" s="12" t="n">
        <v>191</v>
      </c>
      <c r="B192" s="12" t="inlineStr">
        <is>
          <t>室長</t>
        </is>
      </c>
      <c r="C192" s="13" t="inlineStr">
        <is>
          <t>B-2. コマ表（盤面）</t>
        </is>
      </c>
      <c r="D192" s="12" t="inlineStr">
        <is>
          <t>全教室</t>
        </is>
      </c>
      <c r="E192" s="13" t="inlineStr">
        <is>
          <t>丸ごと振替: 振替元 ◯◯ を選択しました。振替先の日付ヘッダーをクリックしてください。</t>
        </is>
      </c>
      <c r="F192" s="13" t="inlineStr">
        <is>
          <t>丸ごと振替</t>
        </is>
      </c>
      <c r="G192" s="13" t="inlineStr">
        <is>
          <t>ScheduleBoardScreen.tsx</t>
        </is>
      </c>
      <c r="H192" s="12" t="inlineStr">
        <is>
          <t>12497</t>
        </is>
      </c>
      <c r="I192" s="13" t="inlineStr"/>
      <c r="J192" s="6" t="n"/>
      <c r="K192" s="14" t="n"/>
      <c r="L192" s="6" t="n"/>
    </row>
    <row r="193">
      <c r="A193" s="12" t="n">
        <v>192</v>
      </c>
      <c r="B193" s="12" t="inlineStr">
        <is>
          <t>室長</t>
        </is>
      </c>
      <c r="C193" s="13" t="inlineStr">
        <is>
          <t>B-2. コマ表（盤面）</t>
        </is>
      </c>
      <c r="D193" s="12" t="inlineStr">
        <is>
          <t>全教室</t>
        </is>
      </c>
      <c r="E193" s="13" t="inlineStr">
        <is>
          <t>◯◯ 週へ移動しました。選択中の内容をこの週へ配置できます。</t>
        </is>
      </c>
      <c r="F193" s="13" t="inlineStr">
        <is>
          <t>週移動</t>
        </is>
      </c>
      <c r="G193" s="13" t="inlineStr">
        <is>
          <t>ScheduleBoardScreen.tsx</t>
        </is>
      </c>
      <c r="H193" s="12" t="inlineStr">
        <is>
          <t>11937–11968</t>
        </is>
      </c>
      <c r="I193" s="13" t="inlineStr"/>
      <c r="J193" s="6" t="n"/>
      <c r="K193" s="14" t="n"/>
      <c r="L193" s="6" t="n"/>
    </row>
    <row r="194">
      <c r="A194" s="12" t="n">
        <v>193</v>
      </c>
      <c r="B194" s="12" t="inlineStr">
        <is>
          <t>室長</t>
        </is>
      </c>
      <c r="C194" s="13" t="inlineStr">
        <is>
          <t>B-2. コマ表（盤面）</t>
        </is>
      </c>
      <c r="D194" s="12" t="inlineStr">
        <is>
          <t>全教室</t>
        </is>
      </c>
      <c r="E194" s="13" t="inlineStr">
        <is>
          <t>◯◯ 週を表示しています。</t>
        </is>
      </c>
      <c r="F194" s="13" t="inlineStr">
        <is>
          <t>週移動</t>
        </is>
      </c>
      <c r="G194" s="13" t="inlineStr">
        <is>
          <t>ScheduleBoardScreen.tsx</t>
        </is>
      </c>
      <c r="H194" s="12" t="inlineStr">
        <is>
          <t>11937–11968</t>
        </is>
      </c>
      <c r="I194" s="13" t="inlineStr"/>
      <c r="J194" s="6" t="n"/>
      <c r="K194" s="14" t="n"/>
      <c r="L194" s="6" t="n"/>
    </row>
    <row r="195">
      <c r="A195" s="12" t="n">
        <v>194</v>
      </c>
      <c r="B195" s="12" t="inlineStr">
        <is>
          <t>室長</t>
        </is>
      </c>
      <c r="C195" s="13" t="inlineStr">
        <is>
          <t>B-2. コマ表（盤面）</t>
        </is>
      </c>
      <c r="D195" s="12" t="inlineStr">
        <is>
          <t>全教室</t>
        </is>
      </c>
      <c r="E195" s="13" t="inlineStr">
        <is>
          <t>◯◯ 週へジャンプしました。</t>
        </is>
      </c>
      <c r="F195" s="13" t="inlineStr">
        <is>
          <t>週移動</t>
        </is>
      </c>
      <c r="G195" s="13" t="inlineStr">
        <is>
          <t>ScheduleBoardScreen.tsx</t>
        </is>
      </c>
      <c r="H195" s="12" t="inlineStr">
        <is>
          <t>11937–11968</t>
        </is>
      </c>
      <c r="I195" s="13" t="inlineStr"/>
      <c r="J195" s="6" t="n"/>
      <c r="K195" s="14" t="n"/>
      <c r="L195" s="6" t="n"/>
    </row>
    <row r="196">
      <c r="A196" s="12" t="n">
        <v>195</v>
      </c>
      <c r="B196" s="12" t="inlineStr">
        <is>
          <t>室長</t>
        </is>
      </c>
      <c r="C196" s="13" t="inlineStr">
        <is>
          <t>B-2. コマ表（盤面）</t>
        </is>
      </c>
      <c r="D196" s="12" t="inlineStr">
        <is>
          <t>全教室</t>
        </is>
      </c>
      <c r="E196" s="13" t="inlineStr">
        <is>
          <t>1つ前の状態に戻しました。</t>
        </is>
      </c>
      <c r="F196" s="13" t="inlineStr">
        <is>
          <t>元に戻す・やり直し</t>
        </is>
      </c>
      <c r="G196" s="13" t="inlineStr">
        <is>
          <t>ScheduleBoardScreen.tsx / 12085</t>
        </is>
      </c>
      <c r="H196" s="12" t="inlineStr">
        <is>
          <t xml:space="preserve">12027 / </t>
        </is>
      </c>
      <c r="I196" s="13" t="inlineStr"/>
      <c r="J196" s="6" t="n"/>
      <c r="K196" s="14" t="n"/>
      <c r="L196" s="6" t="n"/>
    </row>
    <row r="197">
      <c r="A197" s="12" t="n">
        <v>196</v>
      </c>
      <c r="B197" s="12" t="inlineStr">
        <is>
          <t>室長</t>
        </is>
      </c>
      <c r="C197" s="13" t="inlineStr">
        <is>
          <t>B-2. コマ表（盤面）</t>
        </is>
      </c>
      <c r="D197" s="12" t="inlineStr">
        <is>
          <t>全教室</t>
        </is>
      </c>
      <c r="E197" s="13" t="inlineStr">
        <is>
          <t>取り消した操作をやり直しました。</t>
        </is>
      </c>
      <c r="F197" s="13" t="inlineStr">
        <is>
          <t>元に戻す・やり直し</t>
        </is>
      </c>
      <c r="G197" s="13" t="inlineStr">
        <is>
          <t>ScheduleBoardScreen.tsx / 12085</t>
        </is>
      </c>
      <c r="H197" s="12" t="inlineStr">
        <is>
          <t xml:space="preserve">12027 / </t>
        </is>
      </c>
      <c r="I197" s="13" t="inlineStr"/>
      <c r="J197" s="6" t="n"/>
      <c r="K197" s="14" t="n"/>
      <c r="L197" s="6" t="n"/>
    </row>
    <row r="198">
      <c r="A198" s="12" t="n">
        <v>197</v>
      </c>
      <c r="B198" s="12" t="inlineStr">
        <is>
          <t>室長</t>
        </is>
      </c>
      <c r="C198" s="13" t="inlineStr">
        <is>
          <t>B-2. コマ表（盤面）</t>
        </is>
      </c>
      <c r="D198" s="12" t="inlineStr">
        <is>
          <t>全教室</t>
        </is>
      </c>
      <c r="E198" s="13" t="inlineStr">
        <is>
          <t>表示中の週だけ、1日の中で講師ができるだけ同じ席番になるよう並べ替えました。</t>
        </is>
      </c>
      <c r="F198" s="13" t="inlineStr">
        <is>
          <t>並べ替え</t>
        </is>
      </c>
      <c r="G198" s="13" t="inlineStr">
        <is>
          <t>ScheduleBoardScreen.tsx</t>
        </is>
      </c>
      <c r="H198" s="12" t="inlineStr">
        <is>
          <t>12105</t>
        </is>
      </c>
      <c r="I198" s="13" t="inlineStr"/>
      <c r="J198" s="6" t="n"/>
      <c r="K198" s="14" t="n"/>
      <c r="L198" s="6" t="n"/>
    </row>
    <row r="199">
      <c r="A199" s="12" t="n">
        <v>198</v>
      </c>
      <c r="B199" s="12" t="inlineStr">
        <is>
          <t>室長</t>
        </is>
      </c>
      <c r="C199" s="13" t="inlineStr">
        <is>
          <t>B-2. コマ表（盤面）</t>
        </is>
      </c>
      <c r="D199" s="12" t="inlineStr">
        <is>
          <t>全教室</t>
        </is>
      </c>
      <c r="E199" s="13" t="inlineStr">
        <is>
          <t>表示中の週だけ、埋まっている机を上に詰めて並び替えました。</t>
        </is>
      </c>
      <c r="F199" s="13" t="inlineStr">
        <is>
          <t>並べ替え</t>
        </is>
      </c>
      <c r="G199" s="13" t="inlineStr">
        <is>
          <t>ScheduleBoardScreen.tsx</t>
        </is>
      </c>
      <c r="H199" s="12" t="inlineStr">
        <is>
          <t>12106</t>
        </is>
      </c>
      <c r="I199" s="13" t="inlineStr"/>
      <c r="J199" s="6" t="n"/>
      <c r="K199" s="14" t="n"/>
      <c r="L199" s="6" t="n"/>
    </row>
    <row r="200">
      <c r="A200" s="12" t="n">
        <v>199</v>
      </c>
      <c r="B200" s="12" t="inlineStr">
        <is>
          <t>室長</t>
        </is>
      </c>
      <c r="C200" s="13" t="inlineStr">
        <is>
          <t>B-2. コマ表（盤面）</t>
        </is>
      </c>
      <c r="D200" s="12" t="inlineStr">
        <is>
          <t>全教室</t>
        </is>
      </c>
      <c r="E200" s="13" t="inlineStr">
        <is>
          <t>◯◯ を操作中です。この画面をクリックするとコマ表の操作へ切り替わります。</t>
        </is>
      </c>
      <c r="F200" s="13" t="inlineStr">
        <is>
          <t>日程表タブと同時操作したとき</t>
        </is>
      </c>
      <c r="G200" s="13" t="inlineStr">
        <is>
          <t>ScheduleBoardScreen.tsx</t>
        </is>
      </c>
      <c r="H200" s="12" t="inlineStr">
        <is>
          <t>8128</t>
        </is>
      </c>
      <c r="I200" s="13" t="inlineStr"/>
      <c r="J200" s="6" t="n"/>
      <c r="K200" s="14" t="n"/>
      <c r="L200" s="6" t="n"/>
    </row>
    <row r="201">
      <c r="A201" s="12" t="n">
        <v>200</v>
      </c>
      <c r="B201" s="12" t="inlineStr">
        <is>
          <t>室長</t>
        </is>
      </c>
      <c r="C201" s="13" t="inlineStr">
        <is>
          <t>B-2. コマ表（盤面）</t>
        </is>
      </c>
      <c r="D201" s="12" t="inlineStr">
        <is>
          <t>全教室</t>
        </is>
      </c>
      <c r="E201" s="13" t="inlineStr">
        <is>
          <t>文言</t>
        </is>
      </c>
      <c r="F201" s="13" t="inlineStr">
        <is>
          <t>きっかけ</t>
        </is>
      </c>
      <c r="G201" s="13" t="inlineStr">
        <is>
          <t>ファイル:行</t>
        </is>
      </c>
      <c r="H201" s="12" t="inlineStr"/>
      <c r="I201" s="13" t="inlineStr"/>
      <c r="J201" s="6" t="n"/>
      <c r="K201" s="14" t="n"/>
      <c r="L201" s="6" t="n"/>
    </row>
    <row r="202">
      <c r="A202" s="12" t="n">
        <v>201</v>
      </c>
      <c r="B202" s="12" t="inlineStr">
        <is>
          <t>室長</t>
        </is>
      </c>
      <c r="C202" s="13" t="inlineStr">
        <is>
          <t>B-2. コマ表（盤面）</t>
        </is>
      </c>
      <c r="D202" s="12" t="inlineStr">
        <is>
          <t>全教室</t>
        </is>
      </c>
      <c r="E202" s="13" t="inlineStr">
        <is>
          <t>定休日のため、講師・生徒を配置できません。</t>
        </is>
      </c>
      <c r="F202" s="13" t="inlineStr">
        <is>
          <t>定休曜日のセル</t>
        </is>
      </c>
      <c r="G202" s="13" t="inlineStr">
        <is>
          <t>ScheduleBoardScreen.tsx / 8309 / 8492 / 8540</t>
        </is>
      </c>
      <c r="H202" s="12" t="inlineStr">
        <is>
          <t xml:space="preserve">8282 /  /  / </t>
        </is>
      </c>
      <c r="I202" s="13" t="inlineStr"/>
      <c r="J202" s="6" t="n"/>
      <c r="K202" s="14" t="n"/>
      <c r="L202" s="6" t="n"/>
    </row>
    <row r="203">
      <c r="A203" s="12" t="n">
        <v>202</v>
      </c>
      <c r="B203" s="12" t="inlineStr">
        <is>
          <t>室長</t>
        </is>
      </c>
      <c r="C203" s="13" t="inlineStr">
        <is>
          <t>B-2. コマ表（盤面）</t>
        </is>
      </c>
      <c r="D203" s="12" t="inlineStr">
        <is>
          <t>全教室</t>
        </is>
      </c>
      <c r="E203" s="13" t="inlineStr">
        <is>
          <t>休校コマには講師を配置できません。</t>
        </is>
      </c>
      <c r="F203" s="13" t="inlineStr">
        <is>
          <t>休校日</t>
        </is>
      </c>
      <c r="G203" s="13" t="inlineStr">
        <is>
          <t>ScheduleBoardScreen.tsx</t>
        </is>
      </c>
      <c r="H203" s="12" t="inlineStr">
        <is>
          <t>4697</t>
        </is>
      </c>
      <c r="I203" s="13" t="inlineStr"/>
      <c r="J203" s="6" t="n"/>
      <c r="K203" s="14" t="n"/>
      <c r="L203" s="6" t="n"/>
    </row>
    <row r="204">
      <c r="A204" s="12" t="n">
        <v>203</v>
      </c>
      <c r="B204" s="12" t="inlineStr">
        <is>
          <t>室長</t>
        </is>
      </c>
      <c r="C204" s="13" t="inlineStr">
        <is>
          <t>B-2. コマ表（盤面）</t>
        </is>
      </c>
      <c r="D204" s="12" t="inlineStr">
        <is>
          <t>全教室</t>
        </is>
      </c>
      <c r="E204" s="13" t="inlineStr">
        <is>
          <t>休校セルでは講師を設定できません。営業日の講師セルを選んでください。</t>
        </is>
      </c>
      <c r="F204" s="13" t="inlineStr">
        <is>
          <t>休校日</t>
        </is>
      </c>
      <c r="G204" s="13" t="inlineStr">
        <is>
          <t>ScheduleBoardScreen.tsx</t>
        </is>
      </c>
      <c r="H204" s="12" t="inlineStr">
        <is>
          <t>8951</t>
        </is>
      </c>
      <c r="I204" s="13" t="inlineStr"/>
      <c r="J204" s="6" t="n"/>
      <c r="K204" s="14" t="n"/>
      <c r="L204" s="6" t="n"/>
    </row>
    <row r="205">
      <c r="A205" s="12" t="n">
        <v>204</v>
      </c>
      <c r="B205" s="12" t="inlineStr">
        <is>
          <t>室長</t>
        </is>
      </c>
      <c r="C205" s="13" t="inlineStr">
        <is>
          <t>B-2. コマ表（盤面）</t>
        </is>
      </c>
      <c r="D205" s="12" t="inlineStr">
        <is>
          <t>全教室</t>
        </is>
      </c>
      <c r="E205" s="13" t="inlineStr">
        <is>
          <t>休校セルにはメモを保存できません。営業日の空欄セルを選んでください。</t>
        </is>
      </c>
      <c r="F205" s="13" t="inlineStr">
        <is>
          <t>休校日</t>
        </is>
      </c>
      <c r="G205" s="13" t="inlineStr">
        <is>
          <t>ScheduleBoardScreen.tsx</t>
        </is>
      </c>
      <c r="H205" s="12" t="inlineStr">
        <is>
          <t>10222</t>
        </is>
      </c>
      <c r="I205" s="13" t="inlineStr"/>
      <c r="J205" s="6" t="n"/>
      <c r="K205" s="14" t="n"/>
      <c r="L205" s="6" t="n"/>
    </row>
    <row r="206">
      <c r="A206" s="12" t="n">
        <v>205</v>
      </c>
      <c r="B206" s="12" t="inlineStr">
        <is>
          <t>室長</t>
        </is>
      </c>
      <c r="C206" s="13" t="inlineStr">
        <is>
          <t>B-2. コマ表（盤面）</t>
        </is>
      </c>
      <c r="D206" s="12" t="inlineStr">
        <is>
          <t>全教室</t>
        </is>
      </c>
      <c r="E206" s="13" t="inlineStr">
        <is>
          <t>クリックした移動先にはメモがあります。メモを削除してから配置してください。</t>
        </is>
      </c>
      <c r="F206" s="13" t="inlineStr">
        <is>
          <t>メモのあるマス</t>
        </is>
      </c>
      <c r="G206" s="13" t="inlineStr">
        <is>
          <t>ScheduleBoardScreen.tsx / 9422 / 9517</t>
        </is>
      </c>
      <c r="H206" s="12" t="inlineStr">
        <is>
          <t xml:space="preserve">4383 /  / </t>
        </is>
      </c>
      <c r="I206" s="13" t="inlineStr"/>
      <c r="J206" s="6" t="n"/>
      <c r="K206" s="14" t="n"/>
      <c r="L206" s="6" t="n"/>
    </row>
    <row r="207">
      <c r="A207" s="12" t="n">
        <v>206</v>
      </c>
      <c r="B207" s="12" t="inlineStr">
        <is>
          <t>室長</t>
        </is>
      </c>
      <c r="C207" s="13" t="inlineStr">
        <is>
          <t>B-2. コマ表（盤面）</t>
        </is>
      </c>
      <c r="D207" s="12" t="inlineStr">
        <is>
          <t>全教室</t>
        </is>
      </c>
      <c r="E207" s="13" t="inlineStr">
        <is>
          <t>クリックした移動先は埋まっています。空欄の生徒マスを選んでください。</t>
        </is>
      </c>
      <c r="F207" s="13" t="inlineStr">
        <is>
          <t>埋まったマス</t>
        </is>
      </c>
      <c r="G207" s="13" t="inlineStr">
        <is>
          <t>ScheduleBoardScreen.tsx / 9513</t>
        </is>
      </c>
      <c r="H207" s="12" t="inlineStr">
        <is>
          <t xml:space="preserve">9418 / </t>
        </is>
      </c>
      <c r="I207" s="13" t="inlineStr"/>
      <c r="J207" s="6" t="n"/>
      <c r="K207" s="14" t="n"/>
      <c r="L207" s="6" t="n"/>
    </row>
    <row r="208">
      <c r="A208" s="12" t="n">
        <v>207</v>
      </c>
      <c r="B208" s="12" t="inlineStr">
        <is>
          <t>室長</t>
        </is>
      </c>
      <c r="C208" s="13" t="inlineStr">
        <is>
          <t>B-2. コマ表（盤面）</t>
        </is>
      </c>
      <c r="D208" s="12" t="inlineStr">
        <is>
          <t>全教室</t>
        </is>
      </c>
      <c r="E208" s="13" t="inlineStr">
        <is>
          <t>この生徒マスにはすでに生徒が入っています。</t>
        </is>
      </c>
      <c r="F208" s="13" t="inlineStr">
        <is>
          <t>追加時</t>
        </is>
      </c>
      <c r="G208" s="13" t="inlineStr">
        <is>
          <t>ScheduleBoardScreen.tsx / 10793 / 10874</t>
        </is>
      </c>
      <c r="H208" s="12" t="inlineStr">
        <is>
          <t xml:space="preserve">10669 /  / </t>
        </is>
      </c>
      <c r="I208" s="13" t="inlineStr"/>
      <c r="J208" s="6" t="n"/>
      <c r="K208" s="14" t="n"/>
      <c r="L208" s="6" t="n"/>
    </row>
    <row r="209">
      <c r="A209" s="12" t="n">
        <v>208</v>
      </c>
      <c r="B209" s="12" t="inlineStr">
        <is>
          <t>室長</t>
        </is>
      </c>
      <c r="C209" s="13" t="inlineStr">
        <is>
          <t>B-2. コマ表（盤面）</t>
        </is>
      </c>
      <c r="D209" s="12" t="inlineStr">
        <is>
          <t>全教室</t>
        </is>
      </c>
      <c r="E209" s="13" t="inlineStr">
        <is>
          <t>出席済みの生徒がいる席には配置・入れ替えできません。出席を解除してから操作してください。</t>
        </is>
      </c>
      <c r="F209" s="13" t="inlineStr">
        <is>
          <t>出席済み</t>
        </is>
      </c>
      <c r="G209" s="13" t="inlineStr">
        <is>
          <t>ScheduleBoardScreen.tsx</t>
        </is>
      </c>
      <c r="H209" s="12" t="inlineStr">
        <is>
          <t>4390</t>
        </is>
      </c>
      <c r="I209" s="13" t="inlineStr"/>
      <c r="J209" s="6" t="n"/>
      <c r="K209" s="14" t="n"/>
      <c r="L209" s="6" t="n"/>
    </row>
    <row r="210">
      <c r="A210" s="12" t="n">
        <v>209</v>
      </c>
      <c r="B210" s="12" t="inlineStr">
        <is>
          <t>室長</t>
        </is>
      </c>
      <c r="C210" s="13" t="inlineStr">
        <is>
          <t>B-2. コマ表（盤面）</t>
        </is>
      </c>
      <c r="D210" s="12" t="inlineStr">
        <is>
          <t>全教室</t>
        </is>
      </c>
      <c r="E210" s="13" t="inlineStr">
        <is>
          <t>出席済みの生徒は移動できません。出席を解除してから操作してください。</t>
        </is>
      </c>
      <c r="F210" s="13" t="inlineStr">
        <is>
          <t>出席済み</t>
        </is>
      </c>
      <c r="G210" s="13" t="inlineStr">
        <is>
          <t>ScheduleBoardScreen.tsx</t>
        </is>
      </c>
      <c r="H210" s="12" t="inlineStr">
        <is>
          <t>10385</t>
        </is>
      </c>
      <c r="I210" s="13" t="inlineStr"/>
      <c r="J210" s="6" t="n"/>
      <c r="K210" s="14" t="n"/>
      <c r="L210" s="6" t="n"/>
    </row>
    <row r="211">
      <c r="A211" s="12" t="n">
        <v>210</v>
      </c>
      <c r="B211" s="12" t="inlineStr">
        <is>
          <t>室長</t>
        </is>
      </c>
      <c r="C211" s="13" t="inlineStr">
        <is>
          <t>B-2. コマ表（盤面）</t>
        </is>
      </c>
      <c r="D211" s="12" t="inlineStr">
        <is>
          <t>全教室</t>
        </is>
      </c>
      <c r="E211" s="13" t="inlineStr">
        <is>
          <t>出席セルには既存生徒を追加できません。出席解除してから操作してください。</t>
        </is>
      </c>
      <c r="F211" s="13" t="inlineStr">
        <is>
          <t>出席済み</t>
        </is>
      </c>
      <c r="G211" s="13" t="inlineStr">
        <is>
          <t>ScheduleBoardScreen.tsx</t>
        </is>
      </c>
      <c r="H211" s="12" t="inlineStr">
        <is>
          <t>10628</t>
        </is>
      </c>
      <c r="I211" s="13" t="inlineStr"/>
      <c r="J211" s="6" t="n"/>
      <c r="K211" s="14" t="n"/>
      <c r="L211" s="6" t="n"/>
    </row>
    <row r="212">
      <c r="A212" s="12" t="n">
        <v>211</v>
      </c>
      <c r="B212" s="12" t="inlineStr">
        <is>
          <t>室長</t>
        </is>
      </c>
      <c r="C212" s="13" t="inlineStr">
        <is>
          <t>B-2. コマ表（盤面）</t>
        </is>
      </c>
      <c r="D212" s="12" t="inlineStr">
        <is>
          <t>全教室</t>
        </is>
      </c>
      <c r="E212" s="13" t="inlineStr">
        <is>
          <t>同コマにすでに◯◯が組まれているため移動不可です。</t>
        </is>
      </c>
      <c r="F212" s="13" t="inlineStr">
        <is>
          <t>同一コマ重複</t>
        </is>
      </c>
      <c r="G212" s="13" t="inlineStr">
        <is>
          <t>ScheduleBoardScreen.tsx / 4482 / 8361 / 9429 / 9524 / 10679</t>
        </is>
      </c>
      <c r="H212" s="12" t="inlineStr">
        <is>
          <t xml:space="preserve">4466 /  /  /  /  / </t>
        </is>
      </c>
      <c r="I212" s="15" t="inlineStr">
        <is>
          <t>語尾が「不可です」で統一されているが硬い</t>
        </is>
      </c>
      <c r="J212" s="6" t="n"/>
      <c r="K212" s="14" t="n"/>
      <c r="L212" s="6" t="n"/>
    </row>
    <row r="213">
      <c r="A213" s="12" t="n">
        <v>212</v>
      </c>
      <c r="B213" s="12" t="inlineStr">
        <is>
          <t>室長</t>
        </is>
      </c>
      <c r="C213" s="13" t="inlineStr">
        <is>
          <t>B-2. コマ表（盤面）</t>
        </is>
      </c>
      <c r="D213" s="12" t="inlineStr">
        <is>
          <t>全教室</t>
        </is>
      </c>
      <c r="E213" s="13" t="inlineStr">
        <is>
          <t>…入れ替え不可です。</t>
        </is>
      </c>
      <c r="F213" s="13" t="inlineStr">
        <is>
          <t>同一コマ重複</t>
        </is>
      </c>
      <c r="G213" s="13" t="inlineStr">
        <is>
          <t>ScheduleBoardScreen.tsx / 4482 / 8361 / 9429 / 9524 / 10679</t>
        </is>
      </c>
      <c r="H213" s="12" t="inlineStr">
        <is>
          <t xml:space="preserve">4466 /  /  /  /  / </t>
        </is>
      </c>
      <c r="I213" s="15" t="inlineStr">
        <is>
          <t>語尾が「不可です」で統一されているが硬い</t>
        </is>
      </c>
      <c r="J213" s="6" t="n"/>
      <c r="K213" s="14" t="n"/>
      <c r="L213" s="6" t="n"/>
    </row>
    <row r="214">
      <c r="A214" s="12" t="n">
        <v>213</v>
      </c>
      <c r="B214" s="12" t="inlineStr">
        <is>
          <t>室長</t>
        </is>
      </c>
      <c r="C214" s="13" t="inlineStr">
        <is>
          <t>B-2. コマ表（盤面）</t>
        </is>
      </c>
      <c r="D214" s="12" t="inlineStr">
        <is>
          <t>全教室</t>
        </is>
      </c>
      <c r="E214" s="13" t="inlineStr">
        <is>
          <t>…テンプレ移動不可です。</t>
        </is>
      </c>
      <c r="F214" s="13" t="inlineStr">
        <is>
          <t>同一コマ重複</t>
        </is>
      </c>
      <c r="G214" s="13" t="inlineStr">
        <is>
          <t>ScheduleBoardScreen.tsx / 4482 / 8361 / 9429 / 9524 / 10679</t>
        </is>
      </c>
      <c r="H214" s="12" t="inlineStr">
        <is>
          <t xml:space="preserve">4466 /  /  /  /  / </t>
        </is>
      </c>
      <c r="I214" s="15" t="inlineStr">
        <is>
          <t>語尾が「不可です」で統一されているが硬い</t>
        </is>
      </c>
      <c r="J214" s="6" t="n"/>
      <c r="K214" s="14" t="n"/>
      <c r="L214" s="6" t="n"/>
    </row>
    <row r="215">
      <c r="A215" s="12" t="n">
        <v>214</v>
      </c>
      <c r="B215" s="12" t="inlineStr">
        <is>
          <t>室長</t>
        </is>
      </c>
      <c r="C215" s="13" t="inlineStr">
        <is>
          <t>B-2. コマ表（盤面）</t>
        </is>
      </c>
      <c r="D215" s="12" t="inlineStr">
        <is>
          <t>全教室</t>
        </is>
      </c>
      <c r="E215" s="13" t="inlineStr">
        <is>
          <t>…振替不可です。</t>
        </is>
      </c>
      <c r="F215" s="13" t="inlineStr">
        <is>
          <t>同一コマ重複</t>
        </is>
      </c>
      <c r="G215" s="13" t="inlineStr">
        <is>
          <t>ScheduleBoardScreen.tsx / 4482 / 8361 / 9429 / 9524 / 10679</t>
        </is>
      </c>
      <c r="H215" s="12" t="inlineStr">
        <is>
          <t xml:space="preserve">4466 /  /  /  /  / </t>
        </is>
      </c>
      <c r="I215" s="15" t="inlineStr">
        <is>
          <t>語尾が「不可です」で統一されているが硬い</t>
        </is>
      </c>
      <c r="J215" s="6" t="n"/>
      <c r="K215" s="14" t="n"/>
      <c r="L215" s="6" t="n"/>
    </row>
    <row r="216">
      <c r="A216" s="12" t="n">
        <v>215</v>
      </c>
      <c r="B216" s="12" t="inlineStr">
        <is>
          <t>室長</t>
        </is>
      </c>
      <c r="C216" s="13" t="inlineStr">
        <is>
          <t>B-2. コマ表（盤面）</t>
        </is>
      </c>
      <c r="D216" s="12" t="inlineStr">
        <is>
          <t>全教室</t>
        </is>
      </c>
      <c r="E216" s="13" t="inlineStr">
        <is>
          <t>…講習配置不可です。</t>
        </is>
      </c>
      <c r="F216" s="13" t="inlineStr">
        <is>
          <t>同一コマ重複</t>
        </is>
      </c>
      <c r="G216" s="13" t="inlineStr">
        <is>
          <t>ScheduleBoardScreen.tsx / 4482 / 8361 / 9429 / 9524 / 10679</t>
        </is>
      </c>
      <c r="H216" s="12" t="inlineStr">
        <is>
          <t xml:space="preserve">4466 /  /  /  /  / </t>
        </is>
      </c>
      <c r="I216" s="15" t="inlineStr">
        <is>
          <t>語尾が「不可です」で統一されているが硬い</t>
        </is>
      </c>
      <c r="J216" s="6" t="n"/>
      <c r="K216" s="14" t="n"/>
      <c r="L216" s="6" t="n"/>
    </row>
    <row r="217">
      <c r="A217" s="12" t="n">
        <v>216</v>
      </c>
      <c r="B217" s="12" t="inlineStr">
        <is>
          <t>室長</t>
        </is>
      </c>
      <c r="C217" s="13" t="inlineStr">
        <is>
          <t>B-2. コマ表（盤面）</t>
        </is>
      </c>
      <c r="D217" s="12" t="inlineStr">
        <is>
          <t>全教室</t>
        </is>
      </c>
      <c r="E217" s="13" t="inlineStr">
        <is>
          <t>…追加不可です。</t>
        </is>
      </c>
      <c r="F217" s="13" t="inlineStr">
        <is>
          <t>同一コマ重複</t>
        </is>
      </c>
      <c r="G217" s="13" t="inlineStr">
        <is>
          <t>ScheduleBoardScreen.tsx / 4482 / 8361 / 9429 / 9524 / 10679</t>
        </is>
      </c>
      <c r="H217" s="12" t="inlineStr">
        <is>
          <t xml:space="preserve">4466 /  /  /  /  / </t>
        </is>
      </c>
      <c r="I217" s="15" t="inlineStr">
        <is>
          <t>語尾が「不可です」で統一されているが硬い</t>
        </is>
      </c>
      <c r="J217" s="6" t="n"/>
      <c r="K217" s="14" t="n"/>
      <c r="L217" s="6" t="n"/>
    </row>
    <row r="218">
      <c r="A218" s="12" t="n">
        <v>217</v>
      </c>
      <c r="B218" s="12" t="inlineStr">
        <is>
          <t>室長</t>
        </is>
      </c>
      <c r="C218" s="13" t="inlineStr">
        <is>
          <t>B-2. コマ表（盤面）</t>
        </is>
      </c>
      <c r="D218" s="12" t="inlineStr">
        <is>
          <t>全教室</t>
        </is>
      </c>
      <c r="E218" s="13" t="inlineStr">
        <is>
          <t>講師は同じコマ内の机へのみ移動できます。</t>
        </is>
      </c>
      <c r="F218" s="13" t="inlineStr">
        <is>
          <t>講師D&amp;D</t>
        </is>
      </c>
      <c r="G218" s="13" t="inlineStr">
        <is>
          <t>ScheduleBoardScreen.tsx</t>
        </is>
      </c>
      <c r="H218" s="12" t="inlineStr">
        <is>
          <t>10526</t>
        </is>
      </c>
      <c r="I218" s="13" t="inlineStr"/>
      <c r="J218" s="6" t="n"/>
      <c r="K218" s="14" t="n"/>
      <c r="L218" s="6" t="n"/>
    </row>
    <row r="219">
      <c r="A219" s="12" t="n">
        <v>218</v>
      </c>
      <c r="B219" s="12" t="inlineStr">
        <is>
          <t>室長</t>
        </is>
      </c>
      <c r="C219" s="13" t="inlineStr">
        <is>
          <t>B-2. コマ表（盤面）</t>
        </is>
      </c>
      <c r="D219" s="12" t="inlineStr">
        <is>
          <t>全教室</t>
        </is>
      </c>
      <c r="E219" s="13" t="inlineStr">
        <is>
          <t>移動先が現在表示中の週から離れすぎているため移動できません(上限: 約◯週間)。日程表またはコマ表の表示週を近づけてから…</t>
        </is>
      </c>
      <c r="F219" s="13" t="inlineStr">
        <is>
          <t>遠い週への移動</t>
        </is>
      </c>
      <c r="G219" s="13" t="inlineStr">
        <is>
          <t>ScheduleBoardScreen.tsx</t>
        </is>
      </c>
      <c r="H219" s="12" t="inlineStr">
        <is>
          <t>4048</t>
        </is>
      </c>
      <c r="I219" s="13" t="inlineStr"/>
      <c r="J219" s="6" t="n"/>
      <c r="K219" s="14" t="n"/>
      <c r="L219" s="6" t="n"/>
    </row>
    <row r="220">
      <c r="A220" s="12" t="n">
        <v>219</v>
      </c>
      <c r="B220" s="12" t="inlineStr">
        <is>
          <t>室長</t>
        </is>
      </c>
      <c r="C220" s="13" t="inlineStr">
        <is>
          <t>B-2. コマ表（盤面）</t>
        </is>
      </c>
      <c r="D220" s="12" t="inlineStr">
        <is>
          <t>全教室</t>
        </is>
      </c>
      <c r="E220" s="13" t="inlineStr">
        <is>
          <t>移動先の日付が運用範囲外のため移動できません。</t>
        </is>
      </c>
      <c r="F220" s="13" t="inlineStr">
        <is>
          <t>日程表からの移動</t>
        </is>
      </c>
      <c r="G220" s="13" t="inlineStr">
        <is>
          <t>ScheduleBoardScreen.tsx / 10037</t>
        </is>
      </c>
      <c r="H220" s="12" t="inlineStr">
        <is>
          <t xml:space="preserve">10032 / </t>
        </is>
      </c>
      <c r="I220" s="13" t="inlineStr"/>
      <c r="J220" s="6" t="n"/>
      <c r="K220" s="14" t="n"/>
      <c r="L220" s="6" t="n"/>
    </row>
    <row r="221">
      <c r="A221" s="12" t="n">
        <v>220</v>
      </c>
      <c r="B221" s="12" t="inlineStr">
        <is>
          <t>室長</t>
        </is>
      </c>
      <c r="C221" s="13" t="inlineStr">
        <is>
          <t>B-2. コマ表（盤面）</t>
        </is>
      </c>
      <c r="D221" s="12" t="inlineStr">
        <is>
          <t>全教室</t>
        </is>
      </c>
      <c r="E221" s="13" t="inlineStr">
        <is>
          <t>移動先は休校日のため移動できません。</t>
        </is>
      </c>
      <c r="F221" s="13" t="inlineStr">
        <is>
          <t>日程表からの移動</t>
        </is>
      </c>
      <c r="G221" s="13" t="inlineStr">
        <is>
          <t>ScheduleBoardScreen.tsx / 10037</t>
        </is>
      </c>
      <c r="H221" s="12" t="inlineStr">
        <is>
          <t xml:space="preserve">10032 / </t>
        </is>
      </c>
      <c r="I221" s="13" t="inlineStr"/>
      <c r="J221" s="6" t="n"/>
      <c r="K221" s="14" t="n"/>
      <c r="L221" s="6" t="n"/>
    </row>
    <row r="222">
      <c r="A222" s="12" t="n">
        <v>221</v>
      </c>
      <c r="B222" s="12" t="inlineStr">
        <is>
          <t>室長</t>
        </is>
      </c>
      <c r="C222" s="13" t="inlineStr">
        <is>
          <t>B-2. コマ表（盤面）</t>
        </is>
      </c>
      <c r="D222" s="12" t="inlineStr">
        <is>
          <t>全教室</t>
        </is>
      </c>
      <c r="E222" s="13" t="inlineStr">
        <is>
          <t>移動元の授業が盤面に見つかりませんでした。表示を確認して再度お試しください。</t>
        </is>
      </c>
      <c r="F222" s="13" t="inlineStr">
        <is>
          <t>同上</t>
        </is>
      </c>
      <c r="G222" s="13" t="inlineStr">
        <is>
          <t>ScheduleBoardScreen.tsx</t>
        </is>
      </c>
      <c r="H222" s="12" t="inlineStr">
        <is>
          <t>10049</t>
        </is>
      </c>
      <c r="I222" s="13" t="inlineStr"/>
      <c r="J222" s="6" t="n"/>
      <c r="K222" s="14" t="n"/>
      <c r="L222" s="6" t="n"/>
    </row>
    <row r="223">
      <c r="A223" s="12" t="n">
        <v>222</v>
      </c>
      <c r="B223" s="12" t="inlineStr">
        <is>
          <t>室長</t>
        </is>
      </c>
      <c r="C223" s="13" t="inlineStr">
        <is>
          <t>B-2. コマ表（盤面）</t>
        </is>
      </c>
      <c r="D223" s="12" t="inlineStr">
        <is>
          <t>全教室</t>
        </is>
      </c>
      <c r="E223" s="13" t="inlineStr">
        <is>
          <t>移動先は出席不可と提出されたコマです。「最新表示」で日程表を更新してから、確認ダイアログで承認して移動してください。</t>
        </is>
      </c>
      <c r="F223" s="13" t="inlineStr">
        <is>
          <t>同上</t>
        </is>
      </c>
      <c r="G223" s="13" t="inlineStr">
        <is>
          <t>ScheduleBoardScreen.tsx</t>
        </is>
      </c>
      <c r="H223" s="12" t="inlineStr">
        <is>
          <t>10084</t>
        </is>
      </c>
      <c r="I223" s="13" t="inlineStr"/>
      <c r="J223" s="6" t="n"/>
      <c r="K223" s="14" t="n"/>
      <c r="L223" s="6" t="n"/>
    </row>
    <row r="224">
      <c r="A224" s="12" t="n">
        <v>223</v>
      </c>
      <c r="B224" s="12" t="inlineStr">
        <is>
          <t>室長</t>
        </is>
      </c>
      <c r="C224" s="13" t="inlineStr">
        <is>
          <t>B-2. コマ表（盤面）</t>
        </is>
      </c>
      <c r="D224" s="12" t="inlineStr">
        <is>
          <t>全教室</t>
        </is>
      </c>
      <c r="E224" s="13" t="inlineStr">
        <is>
          <t>この日付は表示範囲外のため丸ごと振替できません。 ほか丸ごと振替の各理由（出欠記録あり／コマ構成不一致／同じ日 等）</t>
        </is>
      </c>
      <c r="F224" s="13" t="inlineStr">
        <is>
          <t>丸ごと振替</t>
        </is>
      </c>
      <c r="G224" s="13" t="inlineStr">
        <is>
          <t>ScheduleBoardScreen.tsx / 5100–5127 / 9212 / 9220</t>
        </is>
      </c>
      <c r="H224" s="12" t="inlineStr">
        <is>
          <t xml:space="preserve">4811–4815 /  /  / </t>
        </is>
      </c>
      <c r="I224" s="13" t="inlineStr"/>
      <c r="J224" s="6" t="n"/>
      <c r="K224" s="14" t="n"/>
      <c r="L224" s="6" t="n"/>
    </row>
    <row r="225">
      <c r="A225" s="12" t="n">
        <v>224</v>
      </c>
      <c r="B225" s="12" t="inlineStr">
        <is>
          <t>室長</t>
        </is>
      </c>
      <c r="C225" s="13" t="inlineStr">
        <is>
          <t>B-2. コマ表（盤面）</t>
        </is>
      </c>
      <c r="D225" s="12" t="inlineStr">
        <is>
          <t>全教室</t>
        </is>
      </c>
      <c r="E225" s="13" t="inlineStr">
        <is>
          <t>この生徒は配置できる振替残数がありません。</t>
        </is>
      </c>
      <c r="F225" s="13" t="inlineStr">
        <is>
          <t>振替配置</t>
        </is>
      </c>
      <c r="G225" s="13" t="inlineStr">
        <is>
          <t>ScheduleBoardScreen.tsx / 9408</t>
        </is>
      </c>
      <c r="H225" s="12" t="inlineStr">
        <is>
          <t xml:space="preserve">9404 / </t>
        </is>
      </c>
      <c r="I225" s="13" t="inlineStr"/>
      <c r="J225" s="6" t="n"/>
      <c r="K225" s="14" t="n"/>
      <c r="L225" s="6" t="n"/>
    </row>
    <row r="226">
      <c r="A226" s="12" t="n">
        <v>225</v>
      </c>
      <c r="B226" s="12" t="inlineStr">
        <is>
          <t>室長</t>
        </is>
      </c>
      <c r="C226" s="13" t="inlineStr">
        <is>
          <t>B-2. コマ表（盤面）</t>
        </is>
      </c>
      <c r="D226" s="12" t="inlineStr">
        <is>
          <t>全教室</t>
        </is>
      </c>
      <c r="E226" s="13" t="inlineStr">
        <is>
          <t>この生徒は振替残数がありません。新しい通常残が発生するまで待ってください。</t>
        </is>
      </c>
      <c r="F226" s="13" t="inlineStr">
        <is>
          <t>振替配置</t>
        </is>
      </c>
      <c r="G226" s="13" t="inlineStr">
        <is>
          <t>ScheduleBoardScreen.tsx / 9408</t>
        </is>
      </c>
      <c r="H226" s="12" t="inlineStr">
        <is>
          <t xml:space="preserve">9404 / </t>
        </is>
      </c>
      <c r="I226" s="13" t="inlineStr"/>
      <c r="J226" s="6" t="n"/>
      <c r="K226" s="14" t="n"/>
      <c r="L226" s="6" t="n"/>
    </row>
    <row r="227">
      <c r="A227" s="12" t="n">
        <v>226</v>
      </c>
      <c r="B227" s="12" t="inlineStr">
        <is>
          <t>室長</t>
        </is>
      </c>
      <c r="C227" s="13" t="inlineStr">
        <is>
          <t>B-2. コマ表（盤面）</t>
        </is>
      </c>
      <c r="D227" s="12" t="inlineStr">
        <is>
          <t>全教室</t>
        </is>
      </c>
      <c r="E227" s="13" t="inlineStr">
        <is>
          <t>この未消化講習は残数がありません。</t>
        </is>
      </c>
      <c r="F227" s="13" t="inlineStr">
        <is>
          <t>講習配置</t>
        </is>
      </c>
      <c r="G227" s="13" t="inlineStr">
        <is>
          <t>ScheduleBoardScreen.tsx / 9503</t>
        </is>
      </c>
      <c r="H227" s="12" t="inlineStr">
        <is>
          <t xml:space="preserve">9498 / </t>
        </is>
      </c>
      <c r="I227" s="13" t="inlineStr"/>
      <c r="J227" s="6" t="n"/>
      <c r="K227" s="14" t="n"/>
      <c r="L227" s="6" t="n"/>
    </row>
    <row r="228">
      <c r="A228" s="12" t="n">
        <v>227</v>
      </c>
      <c r="B228" s="12" t="inlineStr">
        <is>
          <t>室長</t>
        </is>
      </c>
      <c r="C228" s="13" t="inlineStr">
        <is>
          <t>B-2. コマ表（盤面）</t>
        </is>
      </c>
      <c r="D228" s="12" t="inlineStr">
        <is>
          <t>全教室</t>
        </is>
      </c>
      <c r="E228" s="13" t="inlineStr">
        <is>
          <t>この未消化講習は配置できる科目残数がありません。</t>
        </is>
      </c>
      <c r="F228" s="13" t="inlineStr">
        <is>
          <t>講習配置</t>
        </is>
      </c>
      <c r="G228" s="13" t="inlineStr">
        <is>
          <t>ScheduleBoardScreen.tsx / 9503</t>
        </is>
      </c>
      <c r="H228" s="12" t="inlineStr">
        <is>
          <t xml:space="preserve">9498 / </t>
        </is>
      </c>
      <c r="I228" s="13" t="inlineStr"/>
      <c r="J228" s="6" t="n"/>
      <c r="K228" s="14" t="n"/>
      <c r="L228" s="6" t="n"/>
    </row>
    <row r="229">
      <c r="A229" s="12" t="n">
        <v>228</v>
      </c>
      <c r="B229" s="12" t="inlineStr">
        <is>
          <t>室長</t>
        </is>
      </c>
      <c r="C229" s="13" t="inlineStr">
        <is>
          <t>B-2. コマ表（盤面）</t>
        </is>
      </c>
      <c r="D229" s="12" t="inlineStr">
        <is>
          <t>全教室</t>
        </is>
      </c>
      <c r="E229" s="13" t="inlineStr">
        <is>
          <t>◯◯ は先取り済みのため、残数が発生するまで選択できません。</t>
        </is>
      </c>
      <c r="F229" s="13" t="inlineStr">
        <is>
          <t>未消化一覧</t>
        </is>
      </c>
      <c r="G229" s="13" t="inlineStr">
        <is>
          <t>ScheduleBoardScreen.tsx</t>
        </is>
      </c>
      <c r="H229" s="12" t="inlineStr">
        <is>
          <t>11888</t>
        </is>
      </c>
      <c r="I229" s="13" t="inlineStr"/>
      <c r="J229" s="6" t="n"/>
      <c r="K229" s="14" t="n"/>
      <c r="L229" s="6" t="n"/>
    </row>
    <row r="230">
      <c r="A230" s="12" t="n">
        <v>229</v>
      </c>
      <c r="B230" s="12" t="inlineStr">
        <is>
          <t>室長</t>
        </is>
      </c>
      <c r="C230" s="13" t="inlineStr">
        <is>
          <t>B-2. コマ表（盤面）</t>
        </is>
      </c>
      <c r="D230" s="12" t="inlineStr">
        <is>
          <t>全教室</t>
        </is>
      </c>
      <c r="E230" s="13" t="inlineStr">
        <is>
          <t>◯◯ は基本データの生徒と未連携のため、自動割振できません。</t>
        </is>
      </c>
      <c r="F230" s="13" t="inlineStr">
        <is>
          <t>自動割振</t>
        </is>
      </c>
      <c r="G230" s="13" t="inlineStr">
        <is>
          <t>ScheduleBoardScreen.tsx</t>
        </is>
      </c>
      <c r="H230" s="12" t="inlineStr">
        <is>
          <t>9608</t>
        </is>
      </c>
      <c r="I230" s="15" t="inlineStr">
        <is>
          <t>「未連携」は内部用語寄り</t>
        </is>
      </c>
      <c r="J230" s="6" t="n"/>
      <c r="K230" s="14" t="n"/>
      <c r="L230" s="6" t="n"/>
    </row>
    <row r="231">
      <c r="A231" s="12" t="n">
        <v>230</v>
      </c>
      <c r="B231" s="12" t="inlineStr">
        <is>
          <t>室長</t>
        </is>
      </c>
      <c r="C231" s="13" t="inlineStr">
        <is>
          <t>B-2. コマ表（盤面）</t>
        </is>
      </c>
      <c r="D231" s="12" t="inlineStr">
        <is>
          <t>全教室</t>
        </is>
      </c>
      <c r="E231" s="13" t="inlineStr">
        <is>
          <t>◯◯ の生徒情報が見つからないため、自動割振できません。</t>
        </is>
      </c>
      <c r="F231" s="13" t="inlineStr">
        <is>
          <t>自動割振</t>
        </is>
      </c>
      <c r="G231" s="13" t="inlineStr">
        <is>
          <t>ScheduleBoardScreen.tsx</t>
        </is>
      </c>
      <c r="H231" s="12" t="inlineStr">
        <is>
          <t>9614</t>
        </is>
      </c>
      <c r="I231" s="13" t="inlineStr"/>
      <c r="J231" s="6" t="n"/>
      <c r="K231" s="14" t="n"/>
      <c r="L231" s="6" t="n"/>
    </row>
    <row r="232">
      <c r="A232" s="12" t="n">
        <v>231</v>
      </c>
      <c r="B232" s="12" t="inlineStr">
        <is>
          <t>室長</t>
        </is>
      </c>
      <c r="C232" s="13" t="inlineStr">
        <is>
          <t>B-2. コマ表（盤面）</t>
        </is>
      </c>
      <c r="D232" s="12" t="inlineStr">
        <is>
          <t>全教室</t>
        </is>
      </c>
      <c r="E232" s="13" t="inlineStr">
        <is>
          <t>講習授業はコマ表から編集できません。生徒日程表で登録解除して内容を直し、再登録してください。</t>
        </is>
      </c>
      <c r="F232" s="13" t="inlineStr">
        <is>
          <t>講習コマの編集</t>
        </is>
      </c>
      <c r="G232" s="13" t="inlineStr">
        <is>
          <t>ScheduleBoardScreen.tsx</t>
        </is>
      </c>
      <c r="H232" s="12" t="inlineStr">
        <is>
          <t>10847</t>
        </is>
      </c>
      <c r="I232" s="13" t="inlineStr"/>
      <c r="J232" s="6" t="n"/>
      <c r="K232" s="14" t="n"/>
      <c r="L232" s="6" t="n"/>
    </row>
    <row r="233">
      <c r="A233" s="12" t="n">
        <v>232</v>
      </c>
      <c r="B233" s="12" t="inlineStr">
        <is>
          <t>室長</t>
        </is>
      </c>
      <c r="C233" s="13" t="inlineStr">
        <is>
          <t>B-2. コマ表（盤面）</t>
        </is>
      </c>
      <c r="D233" s="12" t="inlineStr">
        <is>
          <t>全教室</t>
        </is>
      </c>
      <c r="E233" s="13" t="inlineStr">
        <is>
          <t>テンプレート編集中は処理できません。編集を終了してから、もう一度選んでください。</t>
        </is>
      </c>
      <c r="F233" s="13" t="inlineStr">
        <is>
          <t>テンプレ編集中</t>
        </is>
      </c>
      <c r="G233" s="13" t="inlineStr">
        <is>
          <t>ScheduleBoardScreen.tsx</t>
        </is>
      </c>
      <c r="H233" s="12" t="inlineStr">
        <is>
          <t>11461</t>
        </is>
      </c>
      <c r="I233" s="13" t="inlineStr"/>
      <c r="J233" s="6" t="n"/>
      <c r="K233" s="14" t="n"/>
      <c r="L233" s="6" t="n"/>
    </row>
    <row r="234">
      <c r="A234" s="12" t="n">
        <v>233</v>
      </c>
      <c r="B234" s="12" t="inlineStr">
        <is>
          <t>室長</t>
        </is>
      </c>
      <c r="C234" s="13" t="inlineStr">
        <is>
          <t>B-2. コマ表（盤面）</t>
        </is>
      </c>
      <c r="D234" s="12" t="inlineStr">
        <is>
          <t>全教室</t>
        </is>
      </c>
      <c r="E234" s="13" t="inlineStr">
        <is>
          <t>講習を追加するには特別講習を選択してください。</t>
        </is>
      </c>
      <c r="F234" s="13" t="inlineStr">
        <is>
          <t>追加メニュー</t>
        </is>
      </c>
      <c r="G234" s="13" t="inlineStr">
        <is>
          <t>ScheduleBoardScreen.tsx</t>
        </is>
      </c>
      <c r="H234" s="12" t="inlineStr">
        <is>
          <t>10659</t>
        </is>
      </c>
      <c r="I234" s="13" t="inlineStr"/>
      <c r="J234" s="6" t="n"/>
      <c r="K234" s="14" t="n"/>
      <c r="L234" s="6" t="n"/>
    </row>
    <row r="235">
      <c r="A235" s="12" t="n">
        <v>234</v>
      </c>
      <c r="B235" s="12" t="inlineStr">
        <is>
          <t>室長</t>
        </is>
      </c>
      <c r="C235" s="13" t="inlineStr">
        <is>
          <t>B-2. コマ表（盤面）</t>
        </is>
      </c>
      <c r="D235" s="12" t="inlineStr">
        <is>
          <t>全教室</t>
        </is>
      </c>
      <c r="E235" s="13" t="inlineStr">
        <is>
          <t>教室が特定できませんでした。コマ表を開き直してください。</t>
        </is>
      </c>
      <c r="F235" s="13" t="inlineStr">
        <is>
          <t>通常授業履歴</t>
        </is>
      </c>
      <c r="G235" s="13" t="inlineStr">
        <is>
          <t>ScheduleBoardScreen.tsx</t>
        </is>
      </c>
      <c r="H235" s="12" t="inlineStr">
        <is>
          <t>6340</t>
        </is>
      </c>
      <c r="I235" s="13" t="inlineStr"/>
      <c r="J235" s="6" t="n"/>
      <c r="K235" s="14" t="n"/>
      <c r="L235" s="6" t="n"/>
    </row>
    <row r="236">
      <c r="A236" s="12" t="n">
        <v>235</v>
      </c>
      <c r="B236" s="12" t="inlineStr">
        <is>
          <t>室長</t>
        </is>
      </c>
      <c r="C236" s="13" t="inlineStr">
        <is>
          <t>B-2. コマ表（盤面）</t>
        </is>
      </c>
      <c r="D236" s="12" t="inlineStr">
        <is>
          <t>全教室</t>
        </is>
      </c>
      <c r="E236" s="13" t="inlineStr">
        <is>
          <t>生徒が選ばれていません。生徒を選んでからもう一度お試しください。</t>
        </is>
      </c>
      <c r="F236" s="13" t="inlineStr">
        <is>
          <t>通常授業履歴</t>
        </is>
      </c>
      <c r="G236" s="13" t="inlineStr">
        <is>
          <t>ScheduleBoardScreen.tsx</t>
        </is>
      </c>
      <c r="H236" s="12" t="inlineStr">
        <is>
          <t>6340</t>
        </is>
      </c>
      <c r="I236" s="13" t="inlineStr"/>
      <c r="J236" s="6" t="n"/>
      <c r="K236" s="14" t="n"/>
      <c r="L236" s="6" t="n"/>
    </row>
    <row r="237">
      <c r="A237" s="12" t="n">
        <v>236</v>
      </c>
      <c r="B237" s="12" t="inlineStr">
        <is>
          <t>室長</t>
        </is>
      </c>
      <c r="C237" s="13" t="inlineStr">
        <is>
          <t>B-2. コマ表（盤面）</t>
        </is>
      </c>
      <c r="D237" s="12" t="inlineStr">
        <is>
          <t>全教室</t>
        </is>
      </c>
      <c r="E237" s="13" t="inlineStr">
        <is>
          <t>移動する生徒はメニューの「移動」から選択してください。</t>
        </is>
      </c>
      <c r="F237" s="13" t="inlineStr">
        <is>
          <t>誤操作時</t>
        </is>
      </c>
      <c r="G237" s="13" t="inlineStr">
        <is>
          <t>ScheduleBoardScreen.tsx</t>
        </is>
      </c>
      <c r="H237" s="12" t="inlineStr">
        <is>
          <t>9928</t>
        </is>
      </c>
      <c r="I237" s="13" t="inlineStr"/>
      <c r="J237" s="6" t="n"/>
      <c r="K237" s="14" t="n"/>
      <c r="L237" s="6" t="n"/>
    </row>
    <row r="238">
      <c r="A238" s="12" t="n">
        <v>237</v>
      </c>
      <c r="B238" s="12" t="inlineStr">
        <is>
          <t>室長</t>
        </is>
      </c>
      <c r="C238" s="13" t="inlineStr">
        <is>
          <t>B-2. コマ表（盤面）</t>
        </is>
      </c>
      <c r="D238" s="12" t="inlineStr">
        <is>
          <t>全教室</t>
        </is>
      </c>
      <c r="E238" s="13" t="inlineStr">
        <is>
          <t>文言</t>
        </is>
      </c>
      <c r="F238" s="13" t="inlineStr">
        <is>
          <t>きっかけ</t>
        </is>
      </c>
      <c r="G238" s="13" t="inlineStr">
        <is>
          <t>ファイル:行</t>
        </is>
      </c>
      <c r="H238" s="12" t="inlineStr"/>
      <c r="I238" s="13" t="inlineStr"/>
      <c r="J238" s="6" t="n"/>
      <c r="K238" s="14" t="n"/>
      <c r="L238" s="6" t="n"/>
    </row>
    <row r="239">
      <c r="A239" s="12" t="n">
        <v>238</v>
      </c>
      <c r="B239" s="12" t="inlineStr">
        <is>
          <t>室長</t>
        </is>
      </c>
      <c r="C239" s="13" t="inlineStr">
        <is>
          <t>B-2. コマ表（盤面）</t>
        </is>
      </c>
      <c r="D239" s="12" t="inlineStr">
        <is>
          <t>全教室</t>
        </is>
      </c>
      <c r="E239" s="13" t="inlineStr">
        <is>
          <t>出席不可と提出されたコマへの配置です。…このコマを「出席可能(黄色)」に変更して配置しますか？</t>
        </is>
      </c>
      <c r="F239" s="13" t="inlineStr">
        <is>
          <t>出席不可コマへの配置</t>
        </is>
      </c>
      <c r="G239" s="13" t="inlineStr">
        <is>
          <t>ScheduleBoardScreen.tsx</t>
        </is>
      </c>
      <c r="H239" s="12" t="inlineStr">
        <is>
          <t>444</t>
        </is>
      </c>
      <c r="I239" s="13" t="inlineStr"/>
      <c r="J239" s="6" t="n"/>
      <c r="K239" s="14" t="n"/>
      <c r="L239" s="6" t="n"/>
    </row>
    <row r="240">
      <c r="A240" s="12" t="n">
        <v>239</v>
      </c>
      <c r="B240" s="12" t="inlineStr">
        <is>
          <t>室長</t>
        </is>
      </c>
      <c r="C240" s="13" t="inlineStr">
        <is>
          <t>B-2. コマ表（盤面）</t>
        </is>
      </c>
      <c r="D240" s="12" t="inlineStr">
        <is>
          <t>全教室</t>
        </is>
      </c>
      <c r="E240" s="13" t="inlineStr">
        <is>
          <t>◯月◯日 を休日に設定します。</t>
        </is>
      </c>
      <c r="F240" s="13" t="inlineStr">
        <is>
          <t>休日設定</t>
        </is>
      </c>
      <c r="G240" s="13" t="inlineStr">
        <is>
          <t>ScheduleBoardScreen.tsx</t>
        </is>
      </c>
      <c r="H240" s="12" t="inlineStr">
        <is>
          <t>9121</t>
        </is>
      </c>
      <c r="I240" s="15" t="inlineStr">
        <is>
          <t>語尾が「よろしいですか。」</t>
        </is>
      </c>
      <c r="J240" s="6" t="n"/>
      <c r="K240" s="14" t="n"/>
      <c r="L240" s="6" t="n"/>
    </row>
    <row r="241">
      <c r="A241" s="12" t="n">
        <v>240</v>
      </c>
      <c r="B241" s="12" t="inlineStr">
        <is>
          <t>室長</t>
        </is>
      </c>
      <c r="C241" s="13" t="inlineStr">
        <is>
          <t>B-2. コマ表（盤面）</t>
        </is>
      </c>
      <c r="D241" s="12" t="inlineStr">
        <is>
          <t>全教室</t>
        </is>
      </c>
      <c r="E241" s="13" t="inlineStr">
        <is>
          <t>この日に入っている授業はすべてストックへ移行します。</t>
        </is>
      </c>
      <c r="F241" s="13" t="inlineStr">
        <is>
          <t>休日設定</t>
        </is>
      </c>
      <c r="G241" s="13" t="inlineStr">
        <is>
          <t>ScheduleBoardScreen.tsx</t>
        </is>
      </c>
      <c r="H241" s="12" t="inlineStr">
        <is>
          <t>9121</t>
        </is>
      </c>
      <c r="I241" s="15" t="inlineStr">
        <is>
          <t>語尾が「よろしいですか。」</t>
        </is>
      </c>
      <c r="J241" s="6" t="n"/>
      <c r="K241" s="14" t="n"/>
      <c r="L241" s="6" t="n"/>
    </row>
    <row r="242">
      <c r="A242" s="12" t="n">
        <v>241</v>
      </c>
      <c r="B242" s="12" t="inlineStr">
        <is>
          <t>室長</t>
        </is>
      </c>
      <c r="C242" s="13" t="inlineStr">
        <is>
          <t>B-2. コマ表（盤面）</t>
        </is>
      </c>
      <c r="D242" s="12" t="inlineStr">
        <is>
          <t>全教室</t>
        </is>
      </c>
      <c r="E242" s="13" t="inlineStr">
        <is>
          <t>よろしいですか。</t>
        </is>
      </c>
      <c r="F242" s="13" t="inlineStr">
        <is>
          <t>休日設定</t>
        </is>
      </c>
      <c r="G242" s="13" t="inlineStr">
        <is>
          <t>ScheduleBoardScreen.tsx</t>
        </is>
      </c>
      <c r="H242" s="12" t="inlineStr">
        <is>
          <t>9121</t>
        </is>
      </c>
      <c r="I242" s="15" t="inlineStr">
        <is>
          <t>語尾が「よろしいですか。」</t>
        </is>
      </c>
      <c r="J242" s="6" t="n"/>
      <c r="K242" s="14" t="n"/>
      <c r="L242" s="6" t="n"/>
    </row>
    <row r="243">
      <c r="A243" s="12" t="n">
        <v>242</v>
      </c>
      <c r="B243" s="12" t="inlineStr">
        <is>
          <t>室長</t>
        </is>
      </c>
      <c r="C243" s="13" t="inlineStr">
        <is>
          <t>B-2. コマ表（盤面）</t>
        </is>
      </c>
      <c r="D243" s="12" t="inlineStr">
        <is>
          <t>全教室</t>
        </is>
      </c>
      <c r="E243" s="13" t="inlineStr">
        <is>
          <t>◯月◯日 の全コマを ◯月◯日 へ丸ごと振替します。</t>
        </is>
      </c>
      <c r="F243" s="13" t="inlineStr">
        <is>
          <t>丸ごと振替</t>
        </is>
      </c>
      <c r="G243" s="13" t="inlineStr">
        <is>
          <t>ScheduleBoardScreen.tsx</t>
        </is>
      </c>
      <c r="H243" s="12" t="inlineStr">
        <is>
          <t>5339–5348</t>
        </is>
      </c>
      <c r="I243" s="13" t="inlineStr"/>
      <c r="J243" s="6" t="n"/>
      <c r="K243" s="14" t="n"/>
      <c r="L243" s="6" t="n"/>
    </row>
    <row r="244">
      <c r="A244" s="12" t="n">
        <v>243</v>
      </c>
      <c r="B244" s="12" t="inlineStr">
        <is>
          <t>室長</t>
        </is>
      </c>
      <c r="C244" s="13" t="inlineStr">
        <is>
          <t>B-2. コマ表（盤面）</t>
        </is>
      </c>
      <c r="D244" s="12" t="inlineStr">
        <is>
          <t>全教室</t>
        </is>
      </c>
      <c r="E244" s="13" t="inlineStr">
        <is>
          <t>振替先の既存コマ:</t>
        </is>
      </c>
      <c r="F244" s="13" t="inlineStr">
        <is>
          <t>丸ごと振替（同じ画面・同じダイアログの続き）</t>
        </is>
      </c>
      <c r="G244" s="13" t="inlineStr">
        <is>
          <t>ScheduleBoardScreen.tsx</t>
        </is>
      </c>
      <c r="H244" s="12" t="inlineStr">
        <is>
          <t>5339–5348</t>
        </is>
      </c>
      <c r="I244" s="13" t="inlineStr"/>
      <c r="J244" s="6" t="n"/>
      <c r="K244" s="14" t="n"/>
      <c r="L244" s="6" t="n"/>
    </row>
    <row r="245">
      <c r="A245" s="12" t="n">
        <v>244</v>
      </c>
      <c r="B245" s="12" t="inlineStr">
        <is>
          <t>室長</t>
        </is>
      </c>
      <c r="C245" s="13" t="inlineStr">
        <is>
          <t>B-2. コマ表（盤面）</t>
        </is>
      </c>
      <c r="D245" s="12" t="inlineStr">
        <is>
          <t>全教室</t>
        </is>
      </c>
      <c r="E245" s="13" t="inlineStr">
        <is>
          <t>・消去（未消化へ入れません）: ◯</t>
        </is>
      </c>
      <c r="F245" s="13" t="inlineStr">
        <is>
          <t>丸ごと振替（同じ画面・同じダイアログの続き）</t>
        </is>
      </c>
      <c r="G245" s="13" t="inlineStr">
        <is>
          <t>ScheduleBoardScreen.tsx</t>
        </is>
      </c>
      <c r="H245" s="12" t="inlineStr">
        <is>
          <t>5339–5348</t>
        </is>
      </c>
      <c r="I245" s="13" t="inlineStr"/>
      <c r="J245" s="6" t="n"/>
      <c r="K245" s="14" t="n"/>
      <c r="L245" s="6" t="n"/>
    </row>
    <row r="246">
      <c r="A246" s="12" t="n">
        <v>245</v>
      </c>
      <c r="B246" s="12" t="inlineStr">
        <is>
          <t>室長</t>
        </is>
      </c>
      <c r="C246" s="13" t="inlineStr">
        <is>
          <t>B-2. コマ表（盤面）</t>
        </is>
      </c>
      <c r="D246" s="12" t="inlineStr">
        <is>
          <t>全教室</t>
        </is>
      </c>
      <c r="E246" s="13" t="inlineStr">
        <is>
          <t>・未消化へ返却: ◯</t>
        </is>
      </c>
      <c r="F246" s="13" t="inlineStr">
        <is>
          <t>丸ごと振替（同じ画面・同じダイアログの続き）</t>
        </is>
      </c>
      <c r="G246" s="13" t="inlineStr">
        <is>
          <t>ScheduleBoardScreen.tsx</t>
        </is>
      </c>
      <c r="H246" s="12" t="inlineStr">
        <is>
          <t>5339–5348</t>
        </is>
      </c>
      <c r="I246" s="13" t="inlineStr"/>
      <c r="J246" s="6" t="n"/>
      <c r="K246" s="14" t="n"/>
      <c r="L246" s="6" t="n"/>
    </row>
    <row r="247">
      <c r="A247" s="12" t="n">
        <v>246</v>
      </c>
      <c r="B247" s="12" t="inlineStr">
        <is>
          <t>室長</t>
        </is>
      </c>
      <c r="C247" s="13" t="inlineStr">
        <is>
          <t>B-2. コマ表（盤面）</t>
        </is>
      </c>
      <c r="D247" s="12" t="inlineStr">
        <is>
          <t>全教室</t>
        </is>
      </c>
      <c r="E247" s="13" t="inlineStr">
        <is>
          <t>振替先に既存のコマはありません。</t>
        </is>
      </c>
      <c r="F247" s="13" t="inlineStr">
        <is>
          <t>丸ごと振替（同じ画面・同じダイアログの続き）</t>
        </is>
      </c>
      <c r="G247" s="13" t="inlineStr">
        <is>
          <t>ScheduleBoardScreen.tsx</t>
        </is>
      </c>
      <c r="H247" s="12" t="inlineStr">
        <is>
          <t>5339–5348</t>
        </is>
      </c>
      <c r="I247" s="13" t="inlineStr"/>
      <c r="J247" s="6" t="n"/>
      <c r="K247" s="14" t="n"/>
      <c r="L247" s="6" t="n"/>
    </row>
    <row r="248">
      <c r="A248" s="12" t="n">
        <v>247</v>
      </c>
      <c r="B248" s="12" t="inlineStr">
        <is>
          <t>室長</t>
        </is>
      </c>
      <c r="C248" s="13" t="inlineStr">
        <is>
          <t>B-2. コマ表（盤面）</t>
        </is>
      </c>
      <c r="D248" s="12" t="inlineStr">
        <is>
          <t>全教室</t>
        </is>
      </c>
      <c r="E248" s="13" t="inlineStr">
        <is>
          <t>よろしいですか。</t>
        </is>
      </c>
      <c r="F248" s="13" t="inlineStr">
        <is>
          <t>丸ごと振替（同じ画面・同じダイアログの続き）</t>
        </is>
      </c>
      <c r="G248" s="13" t="inlineStr">
        <is>
          <t>ScheduleBoardScreen.tsx</t>
        </is>
      </c>
      <c r="H248" s="12" t="inlineStr">
        <is>
          <t>5339–5348</t>
        </is>
      </c>
      <c r="I248" s="13" t="inlineStr"/>
      <c r="J248" s="6" t="n"/>
      <c r="K248" s="14" t="n"/>
      <c r="L248" s="6" t="n"/>
    </row>
    <row r="249">
      <c r="A249" s="12" t="n">
        <v>248</v>
      </c>
      <c r="B249" s="12" t="inlineStr">
        <is>
          <t>室長</t>
        </is>
      </c>
      <c r="C249" s="13" t="inlineStr">
        <is>
          <t>B-2. コマ表（盤面）</t>
        </is>
      </c>
      <c r="D249" s="12" t="inlineStr">
        <is>
          <t>全教室</t>
        </is>
      </c>
      <c r="E249" s="13" t="inlineStr">
        <is>
          <t>◯月◯日 の全コマの生徒を削除します。</t>
        </is>
      </c>
      <c r="F249" s="13" t="inlineStr">
        <is>
          <t>日単位の生徒削除</t>
        </is>
      </c>
      <c r="G249" s="13" t="inlineStr">
        <is>
          <t>ScheduleBoardScreen.tsx</t>
        </is>
      </c>
      <c r="H249" s="12" t="inlineStr">
        <is>
          <t>9296</t>
        </is>
      </c>
      <c r="I249" s="13" t="inlineStr"/>
      <c r="J249" s="6" t="n"/>
      <c r="K249" s="14" t="n"/>
      <c r="L249" s="6" t="n"/>
    </row>
    <row r="250">
      <c r="A250" s="12" t="n">
        <v>249</v>
      </c>
      <c r="B250" s="12" t="inlineStr">
        <is>
          <t>室長</t>
        </is>
      </c>
      <c r="C250" s="13" t="inlineStr">
        <is>
          <t>B-2. コマ表（盤面）</t>
        </is>
      </c>
      <c r="D250" s="12" t="inlineStr">
        <is>
          <t>全教室</t>
        </is>
      </c>
      <c r="E250" s="13" t="inlineStr">
        <is>
          <t>講師はそのまま残ります。</t>
        </is>
      </c>
      <c r="F250" s="13" t="inlineStr">
        <is>
          <t>日単位の生徒削除（同じ画面・同じダイアログの続き）</t>
        </is>
      </c>
      <c r="G250" s="13" t="inlineStr">
        <is>
          <t>ScheduleBoardScreen.tsx</t>
        </is>
      </c>
      <c r="H250" s="12" t="inlineStr">
        <is>
          <t>9296</t>
        </is>
      </c>
      <c r="I250" s="13" t="inlineStr"/>
      <c r="J250" s="6" t="n"/>
      <c r="K250" s="14" t="n"/>
      <c r="L250" s="6" t="n"/>
    </row>
    <row r="251">
      <c r="A251" s="12" t="n">
        <v>250</v>
      </c>
      <c r="B251" s="12" t="inlineStr">
        <is>
          <t>室長</t>
        </is>
      </c>
      <c r="C251" s="13" t="inlineStr">
        <is>
          <t>B-2. コマ表（盤面）</t>
        </is>
      </c>
      <c r="D251" s="12" t="inlineStr">
        <is>
          <t>全教室</t>
        </is>
      </c>
      <c r="E251" s="13" t="inlineStr">
        <is>
          <t>振替・講習は未消化ストックへ戻します。</t>
        </is>
      </c>
      <c r="F251" s="13" t="inlineStr">
        <is>
          <t>日単位の生徒削除（同じ画面・同じダイアログの続き）</t>
        </is>
      </c>
      <c r="G251" s="13" t="inlineStr">
        <is>
          <t>ScheduleBoardScreen.tsx</t>
        </is>
      </c>
      <c r="H251" s="12" t="inlineStr">
        <is>
          <t>9296</t>
        </is>
      </c>
      <c r="I251" s="13" t="inlineStr"/>
      <c r="J251" s="6" t="n"/>
      <c r="K251" s="14" t="n"/>
      <c r="L251" s="6" t="n"/>
    </row>
    <row r="252">
      <c r="A252" s="12" t="n">
        <v>251</v>
      </c>
      <c r="B252" s="12" t="inlineStr">
        <is>
          <t>室長</t>
        </is>
      </c>
      <c r="C252" s="13" t="inlineStr">
        <is>
          <t>B-2. コマ表（盤面）</t>
        </is>
      </c>
      <c r="D252" s="12" t="inlineStr">
        <is>
          <t>全教室</t>
        </is>
      </c>
      <c r="E252" s="13" t="inlineStr">
        <is>
          <t>◯◯ のこの授業を削除します。</t>
        </is>
      </c>
      <c r="F252" s="13" t="inlineStr">
        <is>
          <t>授業削除</t>
        </is>
      </c>
      <c r="G252" s="13" t="inlineStr">
        <is>
          <t>ScheduleBoardScreen.tsx</t>
        </is>
      </c>
      <c r="H252" s="12" t="inlineStr">
        <is>
          <t>11713–11715</t>
        </is>
      </c>
      <c r="I252" s="13" t="inlineStr"/>
      <c r="J252" s="6" t="n"/>
      <c r="K252" s="14" t="n"/>
      <c r="L252" s="6" t="n"/>
    </row>
    <row r="253">
      <c r="A253" s="12" t="n">
        <v>252</v>
      </c>
      <c r="B253" s="12" t="inlineStr">
        <is>
          <t>室長</t>
        </is>
      </c>
      <c r="C253" s="13" t="inlineStr">
        <is>
          <t>B-2. コマ表（盤面）</t>
        </is>
      </c>
      <c r="D253" s="12" t="inlineStr">
        <is>
          <t>全教室</t>
        </is>
      </c>
      <c r="E253" s="13" t="inlineStr">
        <is>
          <t>削除すると講習の希望数が1減ります（未消化ストックには戻りません）。</t>
        </is>
      </c>
      <c r="F253" s="13" t="inlineStr">
        <is>
          <t>授業削除（同じ画面・同じダイアログの続き）</t>
        </is>
      </c>
      <c r="G253" s="13" t="inlineStr">
        <is>
          <t>ScheduleBoardScreen.tsx</t>
        </is>
      </c>
      <c r="H253" s="12" t="inlineStr">
        <is>
          <t>11713–11715</t>
        </is>
      </c>
      <c r="I253" s="13" t="inlineStr"/>
      <c r="J253" s="6" t="n"/>
      <c r="K253" s="14" t="n"/>
      <c r="L253" s="6" t="n"/>
    </row>
    <row r="254">
      <c r="A254" s="12" t="n">
        <v>253</v>
      </c>
      <c r="B254" s="12" t="inlineStr">
        <is>
          <t>室長</t>
        </is>
      </c>
      <c r="C254" s="13" t="inlineStr">
        <is>
          <t>B-2. コマ表（盤面）</t>
        </is>
      </c>
      <c r="D254" s="12" t="inlineStr">
        <is>
          <t>全教室</t>
        </is>
      </c>
      <c r="E254" s="13" t="inlineStr">
        <is>
          <t>削除した授業は振替の対象になりません。</t>
        </is>
      </c>
      <c r="F254" s="13" t="inlineStr">
        <is>
          <t>授業削除（同じ画面・同じダイアログの続き）</t>
        </is>
      </c>
      <c r="G254" s="13" t="inlineStr">
        <is>
          <t>ScheduleBoardScreen.tsx</t>
        </is>
      </c>
      <c r="H254" s="12" t="inlineStr">
        <is>
          <t>11713–11715</t>
        </is>
      </c>
      <c r="I254" s="13" t="inlineStr"/>
      <c r="J254" s="6" t="n"/>
      <c r="K254" s="14" t="n"/>
      <c r="L254" s="6" t="n"/>
    </row>
    <row r="255">
      <c r="A255" s="12" t="n">
        <v>254</v>
      </c>
      <c r="B255" s="12" t="inlineStr">
        <is>
          <t>室長</t>
        </is>
      </c>
      <c r="C255" s="13" t="inlineStr">
        <is>
          <t>B-2. コマ表（盤面）</t>
        </is>
      </c>
      <c r="D255" s="12" t="inlineStr">
        <is>
          <t>全教室</t>
        </is>
      </c>
      <c r="E255" s="13" t="inlineStr">
        <is>
          <t>よろしいですか。</t>
        </is>
      </c>
      <c r="F255" s="13" t="inlineStr">
        <is>
          <t>授業削除（同じ画面・同じダイアログの続き）</t>
        </is>
      </c>
      <c r="G255" s="13" t="inlineStr">
        <is>
          <t>ScheduleBoardScreen.tsx</t>
        </is>
      </c>
      <c r="H255" s="12" t="inlineStr">
        <is>
          <t>11713–11715</t>
        </is>
      </c>
      <c r="I255" s="13" t="inlineStr"/>
      <c r="J255" s="6" t="n"/>
      <c r="K255" s="14" t="n"/>
      <c r="L255" s="6" t="n"/>
    </row>
    <row r="256">
      <c r="A256" s="12" t="n">
        <v>255</v>
      </c>
      <c r="B256" s="12" t="inlineStr">
        <is>
          <t>室長</t>
        </is>
      </c>
      <c r="C256" s="13" t="inlineStr">
        <is>
          <t>B-2. コマ表（盤面）</t>
        </is>
      </c>
      <c r="D256" s="12" t="inlineStr">
        <is>
          <t>全教室</t>
        </is>
      </c>
      <c r="E256" s="13" t="inlineStr">
        <is>
          <t>◯◯ の未消化講習 ◯◯ を削除します。よろしいですか。</t>
        </is>
      </c>
      <c r="F256" s="13" t="inlineStr">
        <is>
          <t>未消化の削除</t>
        </is>
      </c>
      <c r="G256" s="13" t="inlineStr">
        <is>
          <t>ScheduleBoardScreen.tsx / 9882</t>
        </is>
      </c>
      <c r="H256" s="12" t="inlineStr">
        <is>
          <t xml:space="preserve">9842 / </t>
        </is>
      </c>
      <c r="I256" s="13" t="inlineStr"/>
      <c r="J256" s="6" t="n"/>
      <c r="K256" s="14" t="n"/>
      <c r="L256" s="6" t="n"/>
    </row>
    <row r="257">
      <c r="A257" s="12" t="n">
        <v>256</v>
      </c>
      <c r="B257" s="12" t="inlineStr">
        <is>
          <t>室長</t>
        </is>
      </c>
      <c r="C257" s="13" t="inlineStr">
        <is>
          <t>B-2. コマ表（盤面）</t>
        </is>
      </c>
      <c r="D257" s="12" t="inlineStr">
        <is>
          <t>全教室</t>
        </is>
      </c>
      <c r="E257" s="13" t="inlineStr">
        <is>
          <t>◯◯ の未消化振替 ◯◯ を削除します。よろしいですか。</t>
        </is>
      </c>
      <c r="F257" s="13" t="inlineStr">
        <is>
          <t>未消化の削除</t>
        </is>
      </c>
      <c r="G257" s="13" t="inlineStr">
        <is>
          <t>ScheduleBoardScreen.tsx / 9882</t>
        </is>
      </c>
      <c r="H257" s="12" t="inlineStr">
        <is>
          <t xml:space="preserve">9842 / </t>
        </is>
      </c>
      <c r="I257" s="13" t="inlineStr"/>
      <c r="J257" s="6" t="n"/>
      <c r="K257" s="14" t="n"/>
      <c r="L257" s="6" t="n"/>
    </row>
    <row r="258">
      <c r="A258" s="12" t="n">
        <v>257</v>
      </c>
      <c r="B258" s="12" t="inlineStr">
        <is>
          <t>室長</t>
        </is>
      </c>
      <c r="C258" s="13" t="inlineStr">
        <is>
          <t>B-2. コマ表（盤面）</t>
        </is>
      </c>
      <c r="D258" s="12" t="inlineStr">
        <is>
          <t>全教室</t>
        </is>
      </c>
      <c r="E258" s="13" t="inlineStr">
        <is>
          <t>テンプレートの内容をすべて空にします。よろしいですか？</t>
        </is>
      </c>
      <c r="F258" s="13" t="inlineStr">
        <is>
          <t>テンプレを空に</t>
        </is>
      </c>
      <c r="G258" s="13" t="inlineStr">
        <is>
          <t>ScheduleBoardScreen.tsx</t>
        </is>
      </c>
      <c r="H258" s="12" t="inlineStr">
        <is>
          <t>8697</t>
        </is>
      </c>
      <c r="I258" s="15" t="inlineStr">
        <is>
          <t>こちらは全角「？」</t>
        </is>
      </c>
      <c r="J258" s="6" t="n"/>
      <c r="K258" s="14" t="n"/>
      <c r="L258" s="6" t="n"/>
    </row>
    <row r="259">
      <c r="A259" s="12" t="n">
        <v>258</v>
      </c>
      <c r="B259" s="12" t="inlineStr">
        <is>
          <t>室長</t>
        </is>
      </c>
      <c r="C259" s="13" t="inlineStr">
        <is>
          <t>B-2. コマ表（盤面）</t>
        </is>
      </c>
      <c r="D259" s="12" t="inlineStr">
        <is>
          <t>全教室</t>
        </is>
      </c>
      <c r="E259" s="13" t="inlineStr">
        <is>
          <t>◯月◯日 以降のコマ表をすべてテンプレート内容で上書きします。\n\n手入力・メモ・振替…</t>
        </is>
      </c>
      <c r="F259" s="13" t="inlineStr">
        <is>
          <t>テンプレ上書き保存</t>
        </is>
      </c>
      <c r="G259" s="13" t="inlineStr">
        <is>
          <t>ScheduleBoardScreen.tsx</t>
        </is>
      </c>
      <c r="H259" s="12" t="inlineStr">
        <is>
          <t>12824</t>
        </is>
      </c>
      <c r="I259" s="13" t="inlineStr"/>
      <c r="J259" s="6" t="n"/>
      <c r="K259" s="14" t="n"/>
      <c r="L259" s="6" t="n"/>
    </row>
    <row r="260">
      <c r="A260" s="12" t="n">
        <v>259</v>
      </c>
      <c r="B260" s="12" t="inlineStr">
        <is>
          <t>室長</t>
        </is>
      </c>
      <c r="C260" s="13" t="inlineStr">
        <is>
          <t>B-2. コマ表（盤面）</t>
        </is>
      </c>
      <c r="D260" s="12" t="inlineStr">
        <is>
          <t>全教室</t>
        </is>
      </c>
      <c r="E260" s="13" t="inlineStr">
        <is>
          <t>この机には生徒がいます。\n・生徒ごと席を入れ替える（講師と生徒のペアはそのまま、席番号を交換）\n・講師だけ…</t>
        </is>
      </c>
      <c r="F260" s="13" t="inlineStr">
        <is>
          <t>講師の入れ替え方法</t>
        </is>
      </c>
      <c r="G260" s="13" t="inlineStr">
        <is>
          <t>ScheduleBoardScreen.tsx</t>
        </is>
      </c>
      <c r="H260" s="12" t="inlineStr">
        <is>
          <t>12840</t>
        </is>
      </c>
      <c r="I260" s="13" t="inlineStr"/>
      <c r="J260" s="6" t="n"/>
      <c r="K260" s="14" t="n"/>
      <c r="L260" s="6" t="n"/>
    </row>
    <row r="261">
      <c r="A261" s="12" t="n">
        <v>260</v>
      </c>
      <c r="B261" s="12" t="inlineStr">
        <is>
          <t>室長</t>
        </is>
      </c>
      <c r="C261" s="13" t="inlineStr">
        <is>
          <t>B-2. コマ表（盤面）</t>
        </is>
      </c>
      <c r="D261" s="12" t="inlineStr">
        <is>
          <t>全教室</t>
        </is>
      </c>
      <c r="E261" s="13" t="inlineStr">
        <is>
          <t>全選択なら、これまでどおり 1 週間まるごと出力します。チェックを外したコマは空白になり、曜日・時限…</t>
        </is>
      </c>
      <c r="F261" s="13" t="inlineStr">
        <is>
          <t>PDF出力の選択モーダル</t>
        </is>
      </c>
      <c r="G261" s="13" t="inlineStr">
        <is>
          <t>BoardPrintSelectionModal.tsx</t>
        </is>
      </c>
      <c r="H261" s="12" t="inlineStr">
        <is>
          <t>69</t>
        </is>
      </c>
      <c r="I261" s="13" t="inlineStr"/>
      <c r="J261" s="6" t="n"/>
      <c r="K261" s="14" t="n"/>
      <c r="L261" s="6" t="n"/>
    </row>
    <row r="262">
      <c r="A262" s="12" t="n">
        <v>261</v>
      </c>
      <c r="B262" s="12" t="inlineStr">
        <is>
          <t>室長</t>
        </is>
      </c>
      <c r="C262" s="13" t="inlineStr">
        <is>
          <t>B-2. コマ表（盤面）</t>
        </is>
      </c>
      <c r="D262" s="12" t="inlineStr">
        <is>
          <t>全教室</t>
        </is>
      </c>
      <c r="E262" s="13" t="inlineStr">
        <is>
          <t>上に詰めて並べ替え</t>
        </is>
      </c>
      <c r="F262" s="13" t="inlineStr">
        <is>
          <t>並べ替えモーダル</t>
        </is>
      </c>
      <c r="G262" s="13" t="inlineStr">
        <is>
          <t>ScheduleBoardScreen.tsx</t>
        </is>
      </c>
      <c r="H262" s="12" t="inlineStr">
        <is>
          <t>12783–12793</t>
        </is>
      </c>
      <c r="I262" s="13" t="inlineStr"/>
      <c r="J262" s="6" t="n"/>
      <c r="K262" s="14" t="n"/>
      <c r="L262" s="6" t="n"/>
    </row>
    <row r="263">
      <c r="A263" s="12" t="n">
        <v>262</v>
      </c>
      <c r="B263" s="12" t="inlineStr">
        <is>
          <t>室長</t>
        </is>
      </c>
      <c r="C263" s="13" t="inlineStr">
        <is>
          <t>B-2. コマ表（盤面）</t>
        </is>
      </c>
      <c r="D263" s="12" t="inlineStr">
        <is>
          <t>全教室</t>
        </is>
      </c>
      <c r="E263" s="13" t="inlineStr">
        <is>
          <t>埋まっている机を上へ詰めて、空いた机を下にまとめます。</t>
        </is>
      </c>
      <c r="F263" s="13" t="inlineStr">
        <is>
          <t>並べ替えモーダル（同じ画面・同じダイアログの続き）</t>
        </is>
      </c>
      <c r="G263" s="13" t="inlineStr">
        <is>
          <t>ScheduleBoardScreen.tsx</t>
        </is>
      </c>
      <c r="H263" s="12" t="inlineStr">
        <is>
          <t>12783–12793</t>
        </is>
      </c>
      <c r="I263" s="13" t="inlineStr"/>
      <c r="J263" s="6" t="n"/>
      <c r="K263" s="14" t="n"/>
      <c r="L263" s="6" t="n"/>
    </row>
    <row r="264">
      <c r="A264" s="12" t="n">
        <v>263</v>
      </c>
      <c r="B264" s="12" t="inlineStr">
        <is>
          <t>室長</t>
        </is>
      </c>
      <c r="C264" s="13" t="inlineStr">
        <is>
          <t>B-2. コマ表（盤面）</t>
        </is>
      </c>
      <c r="D264" s="12" t="inlineStr">
        <is>
          <t>全教室</t>
        </is>
      </c>
      <c r="E264" s="13" t="inlineStr">
        <is>
          <t>同席番で並べ替え</t>
        </is>
      </c>
      <c r="F264" s="13" t="inlineStr">
        <is>
          <t>並べ替えモーダル（同じ画面・同じダイアログの続き）</t>
        </is>
      </c>
      <c r="G264" s="13" t="inlineStr">
        <is>
          <t>ScheduleBoardScreen.tsx</t>
        </is>
      </c>
      <c r="H264" s="12" t="inlineStr">
        <is>
          <t>12783–12793</t>
        </is>
      </c>
      <c r="I264" s="13" t="inlineStr"/>
      <c r="J264" s="6" t="n"/>
      <c r="K264" s="14" t="n"/>
      <c r="L264" s="6" t="n"/>
    </row>
    <row r="265">
      <c r="A265" s="12" t="n">
        <v>264</v>
      </c>
      <c r="B265" s="12" t="inlineStr">
        <is>
          <t>室長</t>
        </is>
      </c>
      <c r="C265" s="13" t="inlineStr">
        <is>
          <t>B-2. コマ表（盤面）</t>
        </is>
      </c>
      <c r="D265" s="12" t="inlineStr">
        <is>
          <t>全教室</t>
        </is>
      </c>
      <c r="E265" s="13" t="inlineStr">
        <is>
          <t>曜日ごとに、コマ数の多い講師から順にできるだけ同じ席番へ揃えます（席が空いたままになることがあります）。</t>
        </is>
      </c>
      <c r="F265" s="13" t="inlineStr">
        <is>
          <t>並べ替えモーダル（同じ画面・同じダイアログの続き）</t>
        </is>
      </c>
      <c r="G265" s="13" t="inlineStr">
        <is>
          <t>ScheduleBoardScreen.tsx</t>
        </is>
      </c>
      <c r="H265" s="12" t="inlineStr">
        <is>
          <t>12783–12793</t>
        </is>
      </c>
      <c r="I265" s="13" t="inlineStr"/>
      <c r="J265" s="6" t="n"/>
      <c r="K265" s="14" t="n"/>
      <c r="L265" s="6" t="n"/>
    </row>
    <row r="266">
      <c r="A266" s="12" t="n">
        <v>265</v>
      </c>
      <c r="B266" s="12" t="inlineStr">
        <is>
          <t>室長</t>
        </is>
      </c>
      <c r="C266" s="13" t="inlineStr">
        <is>
          <t>B-2. コマ表（盤面）</t>
        </is>
      </c>
      <c r="D266" s="12" t="inlineStr">
        <is>
          <t>全教室</t>
        </is>
      </c>
      <c r="E266" s="13" t="inlineStr">
        <is>
          <t>通常授業テンプレート全体に適用します。</t>
        </is>
      </c>
      <c r="F266" s="13" t="inlineStr">
        <is>
          <t>同上</t>
        </is>
      </c>
      <c r="G266" s="13" t="inlineStr">
        <is>
          <t>ScheduleBoardScreen.tsx</t>
        </is>
      </c>
      <c r="H266" s="12" t="inlineStr">
        <is>
          <t>12779–12780</t>
        </is>
      </c>
      <c r="I266" s="13" t="inlineStr"/>
      <c r="J266" s="6" t="n"/>
      <c r="K266" s="14" t="n"/>
      <c r="L266" s="6" t="n"/>
    </row>
    <row r="267">
      <c r="A267" s="12" t="n">
        <v>266</v>
      </c>
      <c r="B267" s="12" t="inlineStr">
        <is>
          <t>室長</t>
        </is>
      </c>
      <c r="C267" s="13" t="inlineStr">
        <is>
          <t>B-2. コマ表（盤面）</t>
        </is>
      </c>
      <c r="D267" s="12" t="inlineStr">
        <is>
          <t>全教室</t>
        </is>
      </c>
      <c r="E267" s="13" t="inlineStr">
        <is>
          <t>表示中の週だけに適用します（他の週は変わりません）。</t>
        </is>
      </c>
      <c r="F267" s="13" t="inlineStr">
        <is>
          <t>同上</t>
        </is>
      </c>
      <c r="G267" s="13" t="inlineStr">
        <is>
          <t>ScheduleBoardScreen.tsx</t>
        </is>
      </c>
      <c r="H267" s="12" t="inlineStr">
        <is>
          <t>12779–12780</t>
        </is>
      </c>
      <c r="I267" s="13" t="inlineStr"/>
      <c r="J267" s="6" t="n"/>
      <c r="K267" s="14" t="n"/>
      <c r="L267" s="6" t="n"/>
    </row>
    <row r="268">
      <c r="A268" s="12" t="n">
        <v>267</v>
      </c>
      <c r="B268" s="12" t="inlineStr">
        <is>
          <t>室長</t>
        </is>
      </c>
      <c r="C268" s="13" t="inlineStr">
        <is>
          <t>B-2. コマ表（盤面）</t>
        </is>
      </c>
      <c r="D268" s="12" t="inlineStr">
        <is>
          <t>全教室</t>
        </is>
      </c>
      <c r="E268" s="13" t="inlineStr">
        <is>
          <t>デフォルトは全員出席です。欠席者だけクリックして欠席にしてください。</t>
        </is>
      </c>
      <c r="F268" s="13" t="inlineStr">
        <is>
          <t>集団授業の出席モーダル</t>
        </is>
      </c>
      <c r="G268" s="13" t="inlineStr">
        <is>
          <t>GroupAttendanceModal.tsx</t>
        </is>
      </c>
      <c r="H268" s="12" t="inlineStr">
        <is>
          <t>121</t>
        </is>
      </c>
      <c r="I268" s="15" t="inlineStr">
        <is>
          <t>「デフォルト」</t>
        </is>
      </c>
      <c r="J268" s="6" t="n"/>
      <c r="K268" s="14" t="n"/>
      <c r="L268" s="6" t="n"/>
    </row>
    <row r="269">
      <c r="A269" s="12" t="n">
        <v>268</v>
      </c>
      <c r="B269" s="12" t="inlineStr">
        <is>
          <t>室長</t>
        </is>
      </c>
      <c r="C269" s="13" t="inlineStr">
        <is>
          <t>B-2. コマ表（盤面）</t>
        </is>
      </c>
      <c r="D269" s="12" t="inlineStr">
        <is>
          <t>全教室</t>
        </is>
      </c>
      <c r="E269" s="13" t="inlineStr">
        <is>
          <t>参加者がいません。下の「中3を追加」から追加できます。</t>
        </is>
      </c>
      <c r="F269" s="13" t="inlineStr">
        <is>
          <t>同上</t>
        </is>
      </c>
      <c r="G269" s="13" t="inlineStr">
        <is>
          <t>GroupAttendanceModal.tsx</t>
        </is>
      </c>
      <c r="H269" s="12" t="inlineStr">
        <is>
          <t>125</t>
        </is>
      </c>
      <c r="I269" s="13" t="inlineStr"/>
      <c r="J269" s="6" t="n"/>
      <c r="K269" s="14" t="n"/>
      <c r="L269" s="6" t="n"/>
    </row>
    <row r="270">
      <c r="A270" s="12" t="n">
        <v>269</v>
      </c>
      <c r="B270" s="12" t="inlineStr">
        <is>
          <t>室長</t>
        </is>
      </c>
      <c r="C270" s="13" t="inlineStr">
        <is>
          <t>B-2. コマ表（盤面）</t>
        </is>
      </c>
      <c r="D270" s="12" t="inlineStr">
        <is>
          <t>全教室</t>
        </is>
      </c>
      <c r="E270" s="13" t="inlineStr">
        <is>
          <t>2行まで表示します。空で保存するとメモを削除</t>
        </is>
      </c>
      <c r="F270" s="13" t="inlineStr">
        <is>
          <t>メモ入力欄</t>
        </is>
      </c>
      <c r="G270" s="13" t="inlineStr">
        <is>
          <t>ScheduleBoardScreen.tsx</t>
        </is>
      </c>
      <c r="H270" s="12" t="inlineStr">
        <is>
          <t>13266</t>
        </is>
      </c>
      <c r="I270" s="13" t="inlineStr"/>
      <c r="J270" s="6" t="n"/>
      <c r="K270" s="14" t="n"/>
      <c r="L270" s="6" t="n"/>
    </row>
    <row r="271">
      <c r="A271" s="12" t="n">
        <v>270</v>
      </c>
      <c r="B271" s="12" t="inlineStr">
        <is>
          <t>室長</t>
        </is>
      </c>
      <c r="C271" s="13" t="inlineStr">
        <is>
          <t>B-2. コマ表（盤面）</t>
        </is>
      </c>
      <c r="D271" s="12" t="inlineStr">
        <is>
          <t>全教室</t>
        </is>
      </c>
      <c r="E271" s="13" t="inlineStr">
        <is>
          <t>手動追加した講習は未消化講習へ戻せません。不要な場合は削除してください。</t>
        </is>
      </c>
      <c r="F271" s="13" t="inlineStr">
        <is>
          <t>生徒メニュー</t>
        </is>
      </c>
      <c r="G271" s="13" t="inlineStr">
        <is>
          <t>ScheduleBoardScreen.tsx / 13034</t>
        </is>
      </c>
      <c r="H271" s="12" t="inlineStr">
        <is>
          <t xml:space="preserve">13032 / </t>
        </is>
      </c>
      <c r="I271" s="13" t="inlineStr"/>
      <c r="J271" s="6" t="n"/>
      <c r="K271" s="14" t="n"/>
      <c r="L271" s="6" t="n"/>
    </row>
    <row r="272">
      <c r="A272" s="12" t="n">
        <v>271</v>
      </c>
      <c r="B272" s="12" t="inlineStr">
        <is>
          <t>室長</t>
        </is>
      </c>
      <c r="C272" s="13" t="inlineStr">
        <is>
          <t>B-2. コマ表（盤面）</t>
        </is>
      </c>
      <c r="D272" s="12" t="inlineStr">
        <is>
          <t>全教室</t>
        </is>
      </c>
      <c r="E272" s="13" t="inlineStr">
        <is>
          <t>手動追加した通常/振替は未消化振替へ戻せません。不要な場合は削除してください。</t>
        </is>
      </c>
      <c r="F272" s="13" t="inlineStr">
        <is>
          <t>生徒メニュー</t>
        </is>
      </c>
      <c r="G272" s="13" t="inlineStr">
        <is>
          <t>ScheduleBoardScreen.tsx / 13034</t>
        </is>
      </c>
      <c r="H272" s="12" t="inlineStr">
        <is>
          <t xml:space="preserve">13032 / </t>
        </is>
      </c>
      <c r="I272" s="13" t="inlineStr"/>
      <c r="J272" s="6" t="n"/>
      <c r="K272" s="14" t="n"/>
      <c r="L272" s="6" t="n"/>
    </row>
    <row r="273">
      <c r="A273" s="12" t="n">
        <v>272</v>
      </c>
      <c r="B273" s="12" t="inlineStr">
        <is>
          <t>室長</t>
        </is>
      </c>
      <c r="C273" s="13" t="inlineStr">
        <is>
          <t>B-2. コマ表（盤面）</t>
        </is>
      </c>
      <c r="D273" s="12" t="inlineStr">
        <is>
          <t>全教室</t>
        </is>
      </c>
      <c r="E273" s="13" t="inlineStr"/>
      <c r="F273" s="13" t="inlineStr">
        <is>
          <t>コマ詳細パネルの下部</t>
        </is>
      </c>
      <c r="G273" s="13" t="inlineStr">
        <is>
          <t>DetailPanel.tsx</t>
        </is>
      </c>
      <c r="H273" s="12" t="inlineStr">
        <is>
          <t>109–118</t>
        </is>
      </c>
      <c r="I273" s="15" t="inlineStr">
        <is>
          <t>`デバッグコピー` ＋ `問題報告を速くするために、選択中コマの内容をそのままコピーできます。` ＋ `報告テンプレートをコピー`</t>
        </is>
      </c>
      <c r="J273" s="6" t="n"/>
      <c r="K273" s="14" t="n"/>
      <c r="L273" s="6" t="n"/>
    </row>
    <row r="274">
      <c r="A274" s="12" t="n">
        <v>273</v>
      </c>
      <c r="B274" s="12" t="inlineStr">
        <is>
          <t>室長</t>
        </is>
      </c>
      <c r="C274" s="13" t="inlineStr">
        <is>
          <t>B-2. コマ表（盤面）</t>
        </is>
      </c>
      <c r="D274" s="12" t="inlineStr">
        <is>
          <t>全教室</t>
        </is>
      </c>
      <c r="E274" s="13" t="inlineStr">
        <is>
          <t>この机にはまだ授業が入っていません。ここを移動先の候補として使う想定です。</t>
        </is>
      </c>
      <c r="F274" s="13" t="inlineStr">
        <is>
          <t>コマ詳細パネル</t>
        </is>
      </c>
      <c r="G274" s="13" t="inlineStr">
        <is>
          <t>DetailPanel.tsx</t>
        </is>
      </c>
      <c r="H274" s="12" t="inlineStr">
        <is>
          <t>69</t>
        </is>
      </c>
      <c r="I274" s="15" t="inlineStr">
        <is>
          <t>「想定です」</t>
        </is>
      </c>
      <c r="J274" s="6" t="n"/>
      <c r="K274" s="14" t="n"/>
      <c r="L274" s="6" t="n"/>
    </row>
    <row r="275">
      <c r="A275" s="12" t="n">
        <v>274</v>
      </c>
      <c r="B275" s="12" t="inlineStr">
        <is>
          <t>室長</t>
        </is>
      </c>
      <c r="C275" s="13" t="inlineStr">
        <is>
          <t>B-2. コマ表（盤面）</t>
        </is>
      </c>
      <c r="D275" s="12" t="inlineStr">
        <is>
          <t>全教室</t>
        </is>
      </c>
      <c r="E275" s="13" t="inlineStr">
        <is>
          <t>同じコマの割当はまだありません。</t>
        </is>
      </c>
      <c r="F275" s="13" t="inlineStr">
        <is>
          <t>コマ詳細パネル</t>
        </is>
      </c>
      <c r="G275" s="13" t="inlineStr">
        <is>
          <t>DetailPanel.tsx</t>
        </is>
      </c>
      <c r="H275" s="12" t="inlineStr">
        <is>
          <t>104</t>
        </is>
      </c>
      <c r="I275" s="13" t="inlineStr"/>
      <c r="J275" s="6" t="n"/>
      <c r="K275" s="14" t="n"/>
      <c r="L275" s="6" t="n"/>
    </row>
    <row r="276">
      <c r="A276" s="12" t="n">
        <v>275</v>
      </c>
      <c r="B276" s="12" t="inlineStr">
        <is>
          <t>室長</t>
        </is>
      </c>
      <c r="C276" s="13" t="inlineStr">
        <is>
          <t>B-2. コマ表（盤面）</t>
        </is>
      </c>
      <c r="D276" s="12" t="inlineStr">
        <is>
          <t>全教室</t>
        </is>
      </c>
      <c r="E276" s="13" t="inlineStr"/>
      <c r="F276" s="13" t="inlineStr">
        <is>
          <t>通常残パネルの見出し（「最小版」は開発中の呼び名）</t>
        </is>
      </c>
      <c r="G276" s="13" t="inlineStr">
        <is>
          <t>IssuesPanel.tsx / 12</t>
        </is>
      </c>
      <c r="H276" s="12" t="inlineStr">
        <is>
          <t xml:space="preserve">9 / </t>
        </is>
      </c>
      <c r="I276" s="15" t="inlineStr">
        <is>
          <t>`通常残一覧画面の最小版` / `通常残一覧画面`</t>
        </is>
      </c>
      <c r="J276" s="6" t="n"/>
      <c r="K276" s="14" t="n"/>
      <c r="L276" s="6" t="n"/>
    </row>
    <row r="277">
      <c r="A277" s="12" t="n">
        <v>276</v>
      </c>
      <c r="B277" s="12" t="inlineStr">
        <is>
          <t>室長</t>
        </is>
      </c>
      <c r="C277" s="13" t="inlineStr">
        <is>
          <t>B-2. コマ表（盤面）</t>
        </is>
      </c>
      <c r="D277" s="12" t="inlineStr">
        <is>
          <t>全教室</t>
        </is>
      </c>
      <c r="E277" s="13" t="inlineStr">
        <is>
          <t>データベースへ保存中(◯%完了)</t>
        </is>
      </c>
      <c r="F277" s="13" t="inlineStr">
        <is>
          <t>保存ボタン横</t>
        </is>
      </c>
      <c r="G277" s="13" t="inlineStr">
        <is>
          <t>BoardToolbar.tsx</t>
        </is>
      </c>
      <c r="H277" s="12" t="inlineStr">
        <is>
          <t>274</t>
        </is>
      </c>
      <c r="I277" s="15" t="inlineStr">
        <is>
          <t>要確認</t>
        </is>
      </c>
      <c r="J277" s="6" t="n"/>
      <c r="K277" s="14" t="n"/>
      <c r="L277" s="6" t="n"/>
    </row>
    <row r="278">
      <c r="A278" s="12" t="n">
        <v>277</v>
      </c>
      <c r="B278" s="12" t="inlineStr">
        <is>
          <t>室長</t>
        </is>
      </c>
      <c r="C278" s="13" t="inlineStr">
        <is>
          <t>B-2. コマ表（盤面）</t>
        </is>
      </c>
      <c r="D278" s="12" t="inlineStr">
        <is>
          <t>全教室</t>
        </is>
      </c>
      <c r="E278" s="13" t="inlineStr">
        <is>
          <t>保存してデータベースへ同期します。</t>
        </is>
      </c>
      <c r="F278" s="13" t="inlineStr">
        <is>
          <t>保存ボタンのツールチップ</t>
        </is>
      </c>
      <c r="G278" s="13" t="inlineStr">
        <is>
          <t>BoardToolbar.tsx</t>
        </is>
      </c>
      <c r="H278" s="12" t="inlineStr">
        <is>
          <t>375</t>
        </is>
      </c>
      <c r="I278" s="15" t="inlineStr">
        <is>
          <t>要確認</t>
        </is>
      </c>
      <c r="J278" s="6" t="n"/>
      <c r="K278" s="14" t="n"/>
      <c r="L278" s="6" t="n"/>
    </row>
    <row r="279">
      <c r="A279" s="12" t="n">
        <v>278</v>
      </c>
      <c r="B279" s="12" t="inlineStr">
        <is>
          <t>室長</t>
        </is>
      </c>
      <c r="C279" s="13" t="inlineStr">
        <is>
          <t>B-2. コマ表（盤面）</t>
        </is>
      </c>
      <c r="D279" s="12" t="inlineStr">
        <is>
          <t>全教室</t>
        </is>
      </c>
      <c r="E279" s="13" t="inlineStr">
        <is>
          <t>データベースと同期済みです。</t>
        </is>
      </c>
      <c r="F279" s="13" t="inlineStr">
        <is>
          <t>保存ボタンのツールチップ</t>
        </is>
      </c>
      <c r="G279" s="13" t="inlineStr">
        <is>
          <t>BoardToolbar.tsx</t>
        </is>
      </c>
      <c r="H279" s="12" t="inlineStr">
        <is>
          <t>375</t>
        </is>
      </c>
      <c r="I279" s="15" t="inlineStr">
        <is>
          <t>要確認</t>
        </is>
      </c>
      <c r="J279" s="6" t="n"/>
      <c r="K279" s="14" t="n"/>
      <c r="L279" s="6" t="n"/>
    </row>
    <row r="280">
      <c r="A280" s="12" t="n">
        <v>279</v>
      </c>
      <c r="B280" s="12" t="inlineStr">
        <is>
          <t>室長</t>
        </is>
      </c>
      <c r="C280" s="13" t="inlineStr">
        <is>
          <t>B-2. コマ表（盤面）</t>
        </is>
      </c>
      <c r="D280" s="12" t="inlineStr">
        <is>
          <t>全教室</t>
        </is>
      </c>
      <c r="E280" s="13" t="inlineStr">
        <is>
          <t>手入力メモのため注意</t>
        </is>
      </c>
      <c r="F280" s="13" t="inlineStr">
        <is>
          <t>セルのツールチップ</t>
        </is>
      </c>
      <c r="G280" s="13" t="inlineStr">
        <is>
          <t>BoardGrid.tsx / 676</t>
        </is>
      </c>
      <c r="H280" s="12" t="inlineStr">
        <is>
          <t xml:space="preserve">340 / </t>
        </is>
      </c>
      <c r="I280" s="13" t="inlineStr"/>
      <c r="J280" s="6" t="n"/>
      <c r="K280" s="14" t="n"/>
      <c r="L280" s="6" t="n"/>
    </row>
    <row r="281">
      <c r="A281" s="12" t="n">
        <v>280</v>
      </c>
      <c r="B281" s="12" t="inlineStr">
        <is>
          <t>室長</t>
        </is>
      </c>
      <c r="C281" s="13" t="inlineStr">
        <is>
          <t>B-2. コマ表（盤面）</t>
        </is>
      </c>
      <c r="D281" s="12" t="inlineStr">
        <is>
          <t>全教室</t>
        </is>
      </c>
      <c r="E281" s="13" t="inlineStr">
        <is>
          <t>手動追加のため注意</t>
        </is>
      </c>
      <c r="F281" s="13" t="inlineStr">
        <is>
          <t>セルのツールチップ</t>
        </is>
      </c>
      <c r="G281" s="13" t="inlineStr">
        <is>
          <t>BoardGrid.tsx / 676</t>
        </is>
      </c>
      <c r="H281" s="12" t="inlineStr">
        <is>
          <t xml:space="preserve">340 / </t>
        </is>
      </c>
      <c r="I281" s="13" t="inlineStr"/>
      <c r="J281" s="6" t="n"/>
      <c r="K281" s="14" t="n"/>
      <c r="L281" s="6" t="n"/>
    </row>
    <row r="282">
      <c r="A282" s="12" t="n">
        <v>281</v>
      </c>
      <c r="B282" s="12" t="inlineStr">
        <is>
          <t>室長</t>
        </is>
      </c>
      <c r="C282" s="13" t="inlineStr">
        <is>
          <t>B-2. コマ表（盤面）</t>
        </is>
      </c>
      <c r="D282" s="12" t="inlineStr">
        <is>
          <t>全教室</t>
        </is>
      </c>
      <c r="E282" s="13" t="inlineStr">
        <is>
          <t>出席不可コマに講師が配置されています</t>
        </is>
      </c>
      <c r="F282" s="13" t="inlineStr">
        <is>
          <t>セルのツールチップ</t>
        </is>
      </c>
      <c r="G282" s="13" t="inlineStr">
        <is>
          <t>BoardGrid.tsx / 676</t>
        </is>
      </c>
      <c r="H282" s="12" t="inlineStr">
        <is>
          <t xml:space="preserve">340 / </t>
        </is>
      </c>
      <c r="I282" s="13" t="inlineStr"/>
      <c r="J282" s="6" t="n"/>
      <c r="K282" s="14" t="n"/>
      <c r="L282" s="6" t="n"/>
    </row>
    <row r="283">
      <c r="A283" s="12" t="n">
        <v>282</v>
      </c>
      <c r="B283" s="12" t="inlineStr">
        <is>
          <t>室長</t>
        </is>
      </c>
      <c r="C283" s="13" t="inlineStr">
        <is>
          <t>B-2. コマ表（盤面）</t>
        </is>
      </c>
      <c r="D283" s="12" t="inlineStr">
        <is>
          <t>全教室</t>
        </is>
      </c>
      <c r="E283" s="13" t="inlineStr">
        <is>
          <t>管理データ反映</t>
        </is>
      </c>
      <c r="F283" s="13" t="inlineStr">
        <is>
          <t>自動生成コマの注記</t>
        </is>
      </c>
      <c r="G283" s="13" t="inlineStr">
        <is>
          <t>BoardGrid.tsx</t>
        </is>
      </c>
      <c r="H283" s="12" t="inlineStr">
        <is>
          <t>332</t>
        </is>
      </c>
      <c r="I283" s="13" t="inlineStr"/>
      <c r="J283" s="6" t="n"/>
      <c r="K283" s="14" t="n"/>
      <c r="L283" s="6" t="n"/>
    </row>
    <row r="284">
      <c r="A284" s="12" t="n">
        <v>283</v>
      </c>
      <c r="B284" s="12" t="inlineStr">
        <is>
          <t>室長</t>
        </is>
      </c>
      <c r="C284" s="13" t="inlineStr">
        <is>
          <t>B-2. コマ表（盤面）</t>
        </is>
      </c>
      <c r="D284" s="12" t="inlineStr">
        <is>
          <t>全教室</t>
        </is>
      </c>
      <c r="E284" s="13" t="inlineStr">
        <is>
          <t>日程表より登録</t>
        </is>
      </c>
      <c r="F284" s="13" t="inlineStr">
        <is>
          <t>講師の割当元表示</t>
        </is>
      </c>
      <c r="G284" s="13" t="inlineStr">
        <is>
          <t>BoardGrid.tsx</t>
        </is>
      </c>
      <c r="H284" s="12" t="inlineStr">
        <is>
          <t>435</t>
        </is>
      </c>
      <c r="I284" s="13" t="inlineStr"/>
      <c r="J284" s="6" t="n"/>
      <c r="K284" s="14" t="n"/>
      <c r="L284" s="6" t="n"/>
    </row>
    <row r="285">
      <c r="A285" s="12" t="n">
        <v>284</v>
      </c>
      <c r="B285" s="12" t="inlineStr">
        <is>
          <t>室長</t>
        </is>
      </c>
      <c r="C285" s="13" t="inlineStr">
        <is>
          <t>B-2. コマ表（盤面）</t>
        </is>
      </c>
      <c r="D285" s="12" t="inlineStr">
        <is>
          <t>全教室</t>
        </is>
      </c>
      <c r="E285" s="13" t="inlineStr">
        <is>
          <t>元の通常授業: ◯月◯日 ◯限</t>
        </is>
      </c>
      <c r="F285" s="13" t="inlineStr">
        <is>
          <t>振替セルのツールチップ</t>
        </is>
      </c>
      <c r="G285" s="13" t="inlineStr">
        <is>
          <t>BoardGrid.tsx</t>
        </is>
      </c>
      <c r="H285" s="12" t="inlineStr">
        <is>
          <t>348</t>
        </is>
      </c>
      <c r="I285" s="13" t="inlineStr"/>
      <c r="J285" s="6" t="n"/>
      <c r="K285" s="14" t="n"/>
      <c r="L285" s="6" t="n"/>
    </row>
    <row r="286">
      <c r="A286" s="16" t="n">
        <v>285</v>
      </c>
      <c r="B286" s="16" t="inlineStr">
        <is>
          <t>室長</t>
        </is>
      </c>
      <c r="C286" s="5" t="inlineStr">
        <is>
          <t>B-3. 基本データ</t>
        </is>
      </c>
      <c r="D286" s="16" t="inlineStr">
        <is>
          <t>全教室</t>
        </is>
      </c>
      <c r="E286" s="5" t="inlineStr">
        <is>
          <t>選んだ学年以下を担当可能として扱います。</t>
        </is>
      </c>
      <c r="F286" s="5" t="inlineStr">
        <is>
          <t>担当科目エディタ</t>
        </is>
      </c>
      <c r="G286" s="5" t="inlineStr">
        <is>
          <t>BasicDataScreen.tsx</t>
        </is>
      </c>
      <c r="H286" s="16" t="inlineStr">
        <is>
          <t>810</t>
        </is>
      </c>
      <c r="I286" s="5" t="inlineStr"/>
      <c r="J286" s="6" t="n"/>
      <c r="K286" s="14" t="n"/>
      <c r="L286" s="6" t="n"/>
    </row>
    <row r="287">
      <c r="A287" s="16" t="n">
        <v>286</v>
      </c>
      <c r="B287" s="16" t="inlineStr">
        <is>
          <t>室長</t>
        </is>
      </c>
      <c r="C287" s="5" t="inlineStr">
        <is>
          <t>B-3. 基本データ</t>
        </is>
      </c>
      <c r="D287" s="16" t="inlineStr">
        <is>
          <t>全教室</t>
        </is>
      </c>
      <c r="E287" s="5" t="inlineStr">
        <is>
          <t>外部生はコマ表の授業区分表記が 外) になります(集計は従来どおり)</t>
        </is>
      </c>
      <c r="F287" s="5" t="inlineStr">
        <is>
          <t>外部生チェックのツールチップ</t>
        </is>
      </c>
      <c r="G287" s="5" t="inlineStr">
        <is>
          <t>BasicDataScreen.tsx</t>
        </is>
      </c>
      <c r="H287" s="16" t="inlineStr">
        <is>
          <t>1456</t>
        </is>
      </c>
      <c r="I287" s="5" t="inlineStr"/>
      <c r="J287" s="6" t="n"/>
      <c r="K287" s="14" t="n"/>
      <c r="L287" s="6" t="n"/>
    </row>
    <row r="288">
      <c r="A288" s="16" t="n">
        <v>287</v>
      </c>
      <c r="B288" s="16" t="inlineStr">
        <is>
          <t>室長</t>
        </is>
      </c>
      <c r="C288" s="5" t="inlineStr">
        <is>
          <t>B-3. 基本データ</t>
        </is>
      </c>
      <c r="D288" s="16" t="inlineStr">
        <is>
          <t>全教室</t>
        </is>
      </c>
      <c r="E288" s="5" t="inlineStr">
        <is>
          <t>未定の場合未入力</t>
        </is>
      </c>
      <c r="F288" s="5" t="inlineStr">
        <is>
          <t>退塾日のヒント</t>
        </is>
      </c>
      <c r="G288" s="5" t="inlineStr">
        <is>
          <t>BasicDataScreen.tsx / 1512</t>
        </is>
      </c>
      <c r="H288" s="16" t="inlineStr">
        <is>
          <t xml:space="preserve">1320 / </t>
        </is>
      </c>
      <c r="I288" s="5" t="inlineStr"/>
      <c r="J288" s="6" t="n"/>
      <c r="K288" s="14" t="n"/>
      <c r="L288" s="6" t="n"/>
    </row>
    <row r="289">
      <c r="A289" s="16" t="n">
        <v>288</v>
      </c>
      <c r="B289" s="16" t="inlineStr">
        <is>
          <t>室長</t>
        </is>
      </c>
      <c r="C289" s="5" t="inlineStr">
        <is>
          <t>B-3. 基本データ</t>
        </is>
      </c>
      <c r="D289" s="16" t="inlineStr">
        <is>
          <t>全教室</t>
        </is>
      </c>
      <c r="E289" s="5" t="inlineStr">
        <is>
          <t>未定の場合未入力(高3卒業後は卒業日を自動表示)</t>
        </is>
      </c>
      <c r="F289" s="5" t="inlineStr">
        <is>
          <t>退塾日のヒント</t>
        </is>
      </c>
      <c r="G289" s="5" t="inlineStr">
        <is>
          <t>BasicDataScreen.tsx / 1512</t>
        </is>
      </c>
      <c r="H289" s="16" t="inlineStr">
        <is>
          <t xml:space="preserve">1320 / </t>
        </is>
      </c>
      <c r="I289" s="5" t="inlineStr"/>
      <c r="J289" s="6" t="n"/>
      <c r="K289" s="14" t="n"/>
      <c r="L289" s="6" t="n"/>
    </row>
    <row r="290">
      <c r="A290" s="16" t="n">
        <v>289</v>
      </c>
      <c r="B290" s="16" t="inlineStr">
        <is>
          <t>室長</t>
        </is>
      </c>
      <c r="C290" s="5" t="inlineStr">
        <is>
          <t>B-3. 基本データ</t>
        </is>
      </c>
      <c r="D290" s="16" t="inlineStr">
        <is>
          <t>全教室</t>
        </is>
      </c>
      <c r="E290" s="5" t="inlineStr">
        <is>
          <t>在籍講師はまだありません。</t>
        </is>
      </c>
      <c r="F290" s="5" t="inlineStr">
        <is>
          <t>一覧が空のとき</t>
        </is>
      </c>
      <c r="G290" s="5" t="inlineStr">
        <is>
          <t>BasicDataScreen.tsx / 1562</t>
        </is>
      </c>
      <c r="H290" s="16" t="inlineStr">
        <is>
          <t xml:space="preserve">1399 / </t>
        </is>
      </c>
      <c r="I290" s="5" t="inlineStr"/>
      <c r="J290" s="6" t="n"/>
      <c r="K290" s="14" t="n"/>
      <c r="L290" s="6" t="n"/>
    </row>
    <row r="291">
      <c r="A291" s="16" t="n">
        <v>290</v>
      </c>
      <c r="B291" s="16" t="inlineStr">
        <is>
          <t>室長</t>
        </is>
      </c>
      <c r="C291" s="5" t="inlineStr">
        <is>
          <t>B-3. 基本データ</t>
        </is>
      </c>
      <c r="D291" s="16" t="inlineStr">
        <is>
          <t>全教室</t>
        </is>
      </c>
      <c r="E291" s="5" t="inlineStr">
        <is>
          <t>非在籍講師はまだありません。</t>
        </is>
      </c>
      <c r="F291" s="5" t="inlineStr">
        <is>
          <t>一覧が空のとき</t>
        </is>
      </c>
      <c r="G291" s="5" t="inlineStr">
        <is>
          <t>BasicDataScreen.tsx / 1562</t>
        </is>
      </c>
      <c r="H291" s="16" t="inlineStr">
        <is>
          <t xml:space="preserve">1399 / </t>
        </is>
      </c>
      <c r="I291" s="5" t="inlineStr"/>
      <c r="J291" s="6" t="n"/>
      <c r="K291" s="14" t="n"/>
      <c r="L291" s="6" t="n"/>
    </row>
    <row r="292">
      <c r="A292" s="16" t="n">
        <v>291</v>
      </c>
      <c r="B292" s="16" t="inlineStr">
        <is>
          <t>室長</t>
        </is>
      </c>
      <c r="C292" s="5" t="inlineStr">
        <is>
          <t>B-3. 基本データ</t>
        </is>
      </c>
      <c r="D292" s="16" t="inlineStr">
        <is>
          <t>全教室</t>
        </is>
      </c>
      <c r="E292" s="5" t="inlineStr">
        <is>
          <t>在籍生徒はまだありません。</t>
        </is>
      </c>
      <c r="F292" s="5" t="inlineStr">
        <is>
          <t>一覧が空のとき</t>
        </is>
      </c>
      <c r="G292" s="5" t="inlineStr">
        <is>
          <t>BasicDataScreen.tsx / 1562</t>
        </is>
      </c>
      <c r="H292" s="16" t="inlineStr">
        <is>
          <t xml:space="preserve">1399 / </t>
        </is>
      </c>
      <c r="I292" s="5" t="inlineStr"/>
      <c r="J292" s="6" t="n"/>
      <c r="K292" s="14" t="n"/>
      <c r="L292" s="6" t="n"/>
    </row>
    <row r="293">
      <c r="A293" s="16" t="n">
        <v>292</v>
      </c>
      <c r="B293" s="16" t="inlineStr">
        <is>
          <t>室長</t>
        </is>
      </c>
      <c r="C293" s="5" t="inlineStr">
        <is>
          <t>B-3. 基本データ</t>
        </is>
      </c>
      <c r="D293" s="16" t="inlineStr">
        <is>
          <t>全教室</t>
        </is>
      </c>
      <c r="E293" s="5" t="inlineStr">
        <is>
          <t>非在籍生徒はまだありません。</t>
        </is>
      </c>
      <c r="F293" s="5" t="inlineStr">
        <is>
          <t>一覧が空のとき</t>
        </is>
      </c>
      <c r="G293" s="5" t="inlineStr">
        <is>
          <t>BasicDataScreen.tsx / 1562</t>
        </is>
      </c>
      <c r="H293" s="16" t="inlineStr">
        <is>
          <t xml:space="preserve">1399 / </t>
        </is>
      </c>
      <c r="I293" s="5" t="inlineStr"/>
      <c r="J293" s="6" t="n"/>
      <c r="K293" s="14" t="n"/>
      <c r="L293" s="6" t="n"/>
    </row>
    <row r="294">
      <c r="A294" s="16" t="n">
        <v>293</v>
      </c>
      <c r="B294" s="16" t="inlineStr">
        <is>
          <t>室長</t>
        </is>
      </c>
      <c r="C294" s="5" t="inlineStr">
        <is>
          <t>B-3. 基本データ</t>
        </is>
      </c>
      <c r="D294" s="16" t="inlineStr">
        <is>
          <t>全教室</t>
        </is>
      </c>
      <c r="E294" s="5" t="inlineStr">
        <is>
          <t>講師名・表示名・メール・科目で絞り込み ほか検索欄の説明</t>
        </is>
      </c>
      <c r="F294" s="5" t="inlineStr">
        <is>
          <t>絞り込み入力</t>
        </is>
      </c>
      <c r="G294" s="5" t="inlineStr">
        <is>
          <t>BasicDataScreen.tsx / 1474</t>
        </is>
      </c>
      <c r="H294" s="16" t="inlineStr">
        <is>
          <t xml:space="preserve">1331 / </t>
        </is>
      </c>
      <c r="I294" s="5" t="inlineStr"/>
      <c r="J294" s="6" t="n"/>
      <c r="K294" s="14" t="n"/>
      <c r="L294" s="6" t="n"/>
    </row>
    <row r="295">
      <c r="A295" s="16" t="n">
        <v>294</v>
      </c>
      <c r="B295" s="16" t="inlineStr">
        <is>
          <t>室長</t>
        </is>
      </c>
      <c r="C295" s="5" t="inlineStr">
        <is>
          <t>B-3. 基本データ</t>
        </is>
      </c>
      <c r="D295" s="16" t="inlineStr">
        <is>
          <t>全教室</t>
        </is>
      </c>
      <c r="E295" s="5" t="inlineStr">
        <is>
          <t>講師を追加しました。</t>
        </is>
      </c>
      <c r="F295" s="5" t="inlineStr">
        <is>
          <t>操作の完了</t>
        </is>
      </c>
      <c r="G295" s="5" t="inlineStr">
        <is>
          <t>BasicDataScreen.tsx</t>
        </is>
      </c>
      <c r="H295" s="16" t="inlineStr">
        <is>
          <t>1172–1260</t>
        </is>
      </c>
      <c r="I295" s="5" t="inlineStr"/>
      <c r="J295" s="6" t="n"/>
      <c r="K295" s="14" t="n"/>
      <c r="L295" s="6" t="n"/>
    </row>
    <row r="296">
      <c r="A296" s="16" t="n">
        <v>295</v>
      </c>
      <c r="B296" s="16" t="inlineStr">
        <is>
          <t>室長</t>
        </is>
      </c>
      <c r="C296" s="5" t="inlineStr">
        <is>
          <t>B-3. 基本データ</t>
        </is>
      </c>
      <c r="D296" s="16" t="inlineStr">
        <is>
          <t>全教室</t>
        </is>
      </c>
      <c r="E296" s="5" t="inlineStr">
        <is>
          <t>生徒を追加しました。</t>
        </is>
      </c>
      <c r="F296" s="5" t="inlineStr">
        <is>
          <t>操作の完了</t>
        </is>
      </c>
      <c r="G296" s="5" t="inlineStr">
        <is>
          <t>BasicDataScreen.tsx</t>
        </is>
      </c>
      <c r="H296" s="16" t="inlineStr">
        <is>
          <t>1172–1260</t>
        </is>
      </c>
      <c r="I296" s="5" t="inlineStr"/>
      <c r="J296" s="6" t="n"/>
      <c r="K296" s="14" t="n"/>
      <c r="L296" s="6" t="n"/>
    </row>
    <row r="297">
      <c r="A297" s="16" t="n">
        <v>296</v>
      </c>
      <c r="B297" s="16" t="inlineStr">
        <is>
          <t>室長</t>
        </is>
      </c>
      <c r="C297" s="5" t="inlineStr">
        <is>
          <t>B-3. 基本データ</t>
        </is>
      </c>
      <c r="D297" s="16" t="inlineStr">
        <is>
          <t>全教室</t>
        </is>
      </c>
      <c r="E297" s="5" t="inlineStr">
        <is>
          <t>講師を削除しました。</t>
        </is>
      </c>
      <c r="F297" s="5" t="inlineStr">
        <is>
          <t>操作の完了</t>
        </is>
      </c>
      <c r="G297" s="5" t="inlineStr">
        <is>
          <t>BasicDataScreen.tsx</t>
        </is>
      </c>
      <c r="H297" s="16" t="inlineStr">
        <is>
          <t>1172–1260</t>
        </is>
      </c>
      <c r="I297" s="5" t="inlineStr"/>
      <c r="J297" s="6" t="n"/>
      <c r="K297" s="14" t="n"/>
      <c r="L297" s="6" t="n"/>
    </row>
    <row r="298">
      <c r="A298" s="16" t="n">
        <v>297</v>
      </c>
      <c r="B298" s="16" t="inlineStr">
        <is>
          <t>室長</t>
        </is>
      </c>
      <c r="C298" s="5" t="inlineStr">
        <is>
          <t>B-3. 基本データ</t>
        </is>
      </c>
      <c r="D298" s="16" t="inlineStr">
        <is>
          <t>全教室</t>
        </is>
      </c>
      <c r="E298" s="5" t="inlineStr">
        <is>
          <t>生徒を削除しました（データは記録として残ります）。</t>
        </is>
      </c>
      <c r="F298" s="5" t="inlineStr">
        <is>
          <t>操作の完了</t>
        </is>
      </c>
      <c r="G298" s="5" t="inlineStr">
        <is>
          <t>BasicDataScreen.tsx</t>
        </is>
      </c>
      <c r="H298" s="16" t="inlineStr">
        <is>
          <t>1172–1260</t>
        </is>
      </c>
      <c r="I298" s="5" t="inlineStr"/>
      <c r="J298" s="6" t="n"/>
      <c r="K298" s="14" t="n"/>
      <c r="L298" s="6" t="n"/>
    </row>
    <row r="299">
      <c r="A299" s="16" t="n">
        <v>298</v>
      </c>
      <c r="B299" s="16" t="inlineStr">
        <is>
          <t>室長</t>
        </is>
      </c>
      <c r="C299" s="5" t="inlineStr">
        <is>
          <t>B-3. 基本データ</t>
        </is>
      </c>
      <c r="D299" s="16" t="inlineStr">
        <is>
          <t>全教室</t>
        </is>
      </c>
      <c r="E299" s="5" t="inlineStr">
        <is>
          <t>ログイン中アカウントのパスワードを入力してください。</t>
        </is>
      </c>
      <c r="F299" s="5" t="inlineStr">
        <is>
          <t>削除時のパスワード確認</t>
        </is>
      </c>
      <c r="G299" s="5" t="inlineStr">
        <is>
          <t>BasicDataScreen.tsx / 1244</t>
        </is>
      </c>
      <c r="H299" s="16" t="inlineStr">
        <is>
          <t xml:space="preserve">1237 / </t>
        </is>
      </c>
      <c r="I299" s="5" t="inlineStr"/>
      <c r="J299" s="6" t="n"/>
      <c r="K299" s="14" t="n"/>
      <c r="L299" s="6" t="n"/>
    </row>
    <row r="300">
      <c r="A300" s="16" t="n">
        <v>299</v>
      </c>
      <c r="B300" s="16" t="inlineStr">
        <is>
          <t>室長</t>
        </is>
      </c>
      <c r="C300" s="5" t="inlineStr">
        <is>
          <t>B-3. 基本データ</t>
        </is>
      </c>
      <c r="D300" s="16" t="inlineStr">
        <is>
          <t>全教室</t>
        </is>
      </c>
      <c r="E300" s="5" t="inlineStr">
        <is>
          <t>パスワードが一致しないため、削除できませんでした。</t>
        </is>
      </c>
      <c r="F300" s="5" t="inlineStr">
        <is>
          <t>削除時のパスワード確認</t>
        </is>
      </c>
      <c r="G300" s="5" t="inlineStr">
        <is>
          <t>BasicDataScreen.tsx / 1244</t>
        </is>
      </c>
      <c r="H300" s="16" t="inlineStr">
        <is>
          <t xml:space="preserve">1237 / </t>
        </is>
      </c>
      <c r="I300" s="5" t="inlineStr"/>
      <c r="J300" s="6" t="n"/>
      <c r="K300" s="14" t="n"/>
      <c r="L300" s="6" t="n"/>
    </row>
    <row r="301">
      <c r="A301" s="16" t="n">
        <v>300</v>
      </c>
      <c r="B301" s="16" t="inlineStr">
        <is>
          <t>室長</t>
        </is>
      </c>
      <c r="C301" s="5" t="inlineStr">
        <is>
          <t>B-3. 基本データ</t>
        </is>
      </c>
      <c r="D301" s="16" t="inlineStr">
        <is>
          <t>全教室</t>
        </is>
      </c>
      <c r="E301" s="5" t="inlineStr">
        <is>
          <t>◯◯ を削除します</t>
        </is>
      </c>
      <c r="F301" s="5" t="inlineStr">
        <is>
          <t>削除確認モーダル</t>
        </is>
      </c>
      <c r="G301" s="5" t="inlineStr">
        <is>
          <t>deleteGuard.ts</t>
        </is>
      </c>
      <c r="H301" s="16" t="inlineStr">
        <is>
          <t>35–71</t>
        </is>
      </c>
      <c r="I301" s="5" t="inlineStr"/>
      <c r="J301" s="6" t="n"/>
      <c r="K301" s="14" t="n"/>
      <c r="L301" s="6" t="n"/>
    </row>
    <row r="302">
      <c r="A302" s="16" t="n">
        <v>301</v>
      </c>
      <c r="B302" s="16" t="inlineStr">
        <is>
          <t>室長</t>
        </is>
      </c>
      <c r="C302" s="5" t="inlineStr">
        <is>
          <t>B-3. 基本データ</t>
        </is>
      </c>
      <c r="D302" s="16" t="inlineStr">
        <is>
          <t>全教室</t>
        </is>
      </c>
      <c r="E302" s="5" t="inlineStr">
        <is>
          <t>削除したデータは元に戻せません。</t>
        </is>
      </c>
      <c r="F302" s="5" t="inlineStr">
        <is>
          <t>削除確認モーダル（同じ画面・同じダイアログの続き）</t>
        </is>
      </c>
      <c r="G302" s="5" t="inlineStr">
        <is>
          <t>deleteGuard.ts</t>
        </is>
      </c>
      <c r="H302" s="16" t="inlineStr">
        <is>
          <t>35–71</t>
        </is>
      </c>
      <c r="I302" s="5" t="inlineStr"/>
      <c r="J302" s="6" t="n"/>
      <c r="K302" s="14" t="n"/>
      <c r="L302" s="6" t="n"/>
    </row>
    <row r="303">
      <c r="A303" s="16" t="n">
        <v>302</v>
      </c>
      <c r="B303" s="16" t="inlineStr">
        <is>
          <t>室長</t>
        </is>
      </c>
      <c r="C303" s="5" t="inlineStr">
        <is>
          <t>B-3. 基本データ</t>
        </is>
      </c>
      <c r="D303" s="16" t="inlineStr">
        <is>
          <t>全教室</t>
        </is>
      </c>
      <c r="E303" s="5" t="inlineStr">
        <is>
          <t>データを残したまま名簿・盤面・日程表から外したいだけなら、削除ではなく「退塾」にしてください。</t>
        </is>
      </c>
      <c r="F303" s="5" t="inlineStr">
        <is>
          <t>削除確認モーダル（同じ画面・同じダイアログの続き）</t>
        </is>
      </c>
      <c r="G303" s="5" t="inlineStr">
        <is>
          <t>deleteGuard.ts</t>
        </is>
      </c>
      <c r="H303" s="16" t="inlineStr">
        <is>
          <t>35–71</t>
        </is>
      </c>
      <c r="I303" s="5" t="inlineStr"/>
      <c r="J303" s="6" t="n"/>
      <c r="K303" s="14" t="n"/>
      <c r="L303" s="6" t="n"/>
    </row>
    <row r="304">
      <c r="A304" s="16" t="n">
        <v>303</v>
      </c>
      <c r="B304" s="16" t="inlineStr">
        <is>
          <t>室長</t>
        </is>
      </c>
      <c r="C304" s="5" t="inlineStr">
        <is>
          <t>B-3. 基本データ</t>
        </is>
      </c>
      <c r="D304" s="16" t="inlineStr">
        <is>
          <t>全教室</t>
        </is>
      </c>
      <c r="E304" s="5" t="inlineStr">
        <is>
          <t>アプリ上から消え、画面から元に戻すことはできません（データ自体は記録として残ります）</t>
        </is>
      </c>
      <c r="F304" s="5" t="inlineStr">
        <is>
          <t>削除確認モーダル（同じ画面・同じダイアログの続き）</t>
        </is>
      </c>
      <c r="G304" s="5" t="inlineStr">
        <is>
          <t>deleteGuard.ts</t>
        </is>
      </c>
      <c r="H304" s="16" t="inlineStr">
        <is>
          <t>35–71</t>
        </is>
      </c>
      <c r="I304" s="5" t="inlineStr"/>
      <c r="J304" s="6" t="n"/>
      <c r="K304" s="14" t="n"/>
      <c r="L304" s="6" t="n"/>
    </row>
    <row r="305">
      <c r="A305" s="16" t="n">
        <v>304</v>
      </c>
      <c r="B305" s="16" t="inlineStr">
        <is>
          <t>室長</t>
        </is>
      </c>
      <c r="C305" s="5" t="inlineStr">
        <is>
          <t>B-3. 基本データ</t>
        </is>
      </c>
      <c r="D305" s="16" t="inlineStr">
        <is>
          <t>全教室</t>
        </is>
      </c>
      <c r="E305" s="5" t="inlineStr">
        <is>
          <t>◯◯ には 未消化の講習 ◯件 と 未消化の振替 ◯件 が残っています。削除すると画面からは確認できなくなります。</t>
        </is>
      </c>
      <c r="F305" s="5" t="inlineStr">
        <is>
          <t>削除確認モーダル（同じ画面・同じダイアログの続き）</t>
        </is>
      </c>
      <c r="G305" s="5" t="inlineStr">
        <is>
          <t>deleteGuard.ts</t>
        </is>
      </c>
      <c r="H305" s="16" t="inlineStr">
        <is>
          <t>35–71</t>
        </is>
      </c>
      <c r="I305" s="5" t="inlineStr"/>
      <c r="J305" s="6" t="n"/>
      <c r="K305" s="14" t="n"/>
      <c r="L305" s="6" t="n"/>
    </row>
    <row r="306">
      <c r="A306" s="16" t="n">
        <v>305</v>
      </c>
      <c r="B306" s="16" t="inlineStr">
        <is>
          <t>室長</t>
        </is>
      </c>
      <c r="C306" s="5" t="inlineStr">
        <is>
          <t>B-3. 基本データ</t>
        </is>
      </c>
      <c r="D306" s="16" t="inlineStr">
        <is>
          <t>全教室</t>
        </is>
      </c>
      <c r="E306" s="5" t="inlineStr">
        <is>
          <t>◯◯ を退塾にします</t>
        </is>
      </c>
      <c r="F306" s="5" t="inlineStr">
        <is>
          <t>退塾確認モーダル</t>
        </is>
      </c>
      <c r="G306" s="5" t="inlineStr">
        <is>
          <t>withdrawGuard.ts</t>
        </is>
      </c>
      <c r="H306" s="16" t="inlineStr">
        <is>
          <t>53–66</t>
        </is>
      </c>
      <c r="I306" s="5" t="inlineStr"/>
      <c r="J306" s="6" t="n"/>
      <c r="K306" s="14" t="n"/>
      <c r="L306" s="6" t="n"/>
    </row>
    <row r="307">
      <c r="A307" s="16" t="n">
        <v>306</v>
      </c>
      <c r="B307" s="16" t="inlineStr">
        <is>
          <t>室長</t>
        </is>
      </c>
      <c r="C307" s="5" t="inlineStr">
        <is>
          <t>B-3. 基本データ</t>
        </is>
      </c>
      <c r="D307" s="16" t="inlineStr">
        <is>
          <t>全教室</t>
        </is>
      </c>
      <c r="E307" s="5" t="inlineStr">
        <is>
          <t>本日（◯◯）を退塾日として記録します。本日から非在籍となり、…</t>
        </is>
      </c>
      <c r="F307" s="5" t="inlineStr">
        <is>
          <t>退塾確認モーダル（同じ画面・同じダイアログの続き）</t>
        </is>
      </c>
      <c r="G307" s="5" t="inlineStr">
        <is>
          <t>withdrawGuard.ts</t>
        </is>
      </c>
      <c r="H307" s="16" t="inlineStr">
        <is>
          <t>53–66</t>
        </is>
      </c>
      <c r="I307" s="5" t="inlineStr"/>
      <c r="J307" s="6" t="n"/>
      <c r="K307" s="14" t="n"/>
      <c r="L307" s="6" t="n"/>
    </row>
    <row r="308">
      <c r="A308" s="16" t="n">
        <v>307</v>
      </c>
      <c r="B308" s="16" t="inlineStr">
        <is>
          <t>室長</t>
        </is>
      </c>
      <c r="C308" s="5" t="inlineStr">
        <is>
          <t>B-3. 基本データ</t>
        </is>
      </c>
      <c r="D308" s="16" t="inlineStr">
        <is>
          <t>全教室</t>
        </is>
      </c>
      <c r="E308" s="5" t="inlineStr">
        <is>
          <t>現在の退塾日（◯◯）を ◯◯ に置き換えます。</t>
        </is>
      </c>
      <c r="F308" s="5" t="inlineStr">
        <is>
          <t>退塾確認モーダル（同じ画面・同じダイアログの続き）</t>
        </is>
      </c>
      <c r="G308" s="5" t="inlineStr">
        <is>
          <t>withdrawGuard.ts</t>
        </is>
      </c>
      <c r="H308" s="16" t="inlineStr">
        <is>
          <t>53–66</t>
        </is>
      </c>
      <c r="I308" s="5" t="inlineStr"/>
      <c r="J308" s="6" t="n"/>
      <c r="K308" s="14" t="n"/>
      <c r="L308" s="6" t="n"/>
    </row>
    <row r="309">
      <c r="A309" s="16" t="n">
        <v>308</v>
      </c>
      <c r="B309" s="16" t="inlineStr">
        <is>
          <t>室長</t>
        </is>
      </c>
      <c r="C309" s="5" t="inlineStr">
        <is>
          <t>B-3. 基本データ</t>
        </is>
      </c>
      <c r="D309" s="16" t="inlineStr">
        <is>
          <t>全教室</t>
        </is>
      </c>
      <c r="E309" s="5" t="inlineStr">
        <is>
          <t>◯◯ を ◯◯ 付けで退塾にしました。</t>
        </is>
      </c>
      <c r="F309" s="5" t="inlineStr">
        <is>
          <t>退塾後</t>
        </is>
      </c>
      <c r="G309" s="5" t="inlineStr">
        <is>
          <t>BasicDataScreen.tsx / 1212</t>
        </is>
      </c>
      <c r="H309" s="16" t="inlineStr">
        <is>
          <t xml:space="preserve">1220 / </t>
        </is>
      </c>
      <c r="I309" s="5" t="inlineStr"/>
      <c r="J309" s="6" t="n"/>
      <c r="K309" s="14" t="n"/>
      <c r="L309" s="6" t="n"/>
    </row>
    <row r="310">
      <c r="A310" s="16" t="n">
        <v>309</v>
      </c>
      <c r="B310" s="16" t="inlineStr">
        <is>
          <t>室長</t>
        </is>
      </c>
      <c r="C310" s="5" t="inlineStr">
        <is>
          <t>B-3. 基本データ</t>
        </is>
      </c>
      <c r="D310" s="16" t="inlineStr">
        <is>
          <t>全教室</t>
        </is>
      </c>
      <c r="E310" s="5" t="inlineStr">
        <is>
          <t>退塾をキャンセルしました。</t>
        </is>
      </c>
      <c r="F310" s="5" t="inlineStr">
        <is>
          <t>退塾後</t>
        </is>
      </c>
      <c r="G310" s="5" t="inlineStr">
        <is>
          <t>BasicDataScreen.tsx / 1212</t>
        </is>
      </c>
      <c r="H310" s="16" t="inlineStr">
        <is>
          <t xml:space="preserve">1220 / </t>
        </is>
      </c>
      <c r="I310" s="5" t="inlineStr"/>
      <c r="J310" s="6" t="n"/>
      <c r="K310" s="14" t="n"/>
      <c r="L310" s="6" t="n"/>
    </row>
    <row r="311">
      <c r="A311" s="16" t="n">
        <v>310</v>
      </c>
      <c r="B311" s="16" t="inlineStr">
        <is>
          <t>室長</t>
        </is>
      </c>
      <c r="C311" s="5" t="inlineStr">
        <is>
          <t>B-3. 基本データ</t>
        </is>
      </c>
      <c r="D311" s="16" t="inlineStr">
        <is>
          <t>全教室</t>
        </is>
      </c>
      <c r="E311" s="5" t="inlineStr">
        <is>
          <t>現データ出力に含まれる ID 列は…</t>
        </is>
      </c>
      <c r="F311" s="5" t="inlineStr">
        <is>
          <t>基本データ Excel の「説明」シート</t>
        </is>
      </c>
      <c r="G311" s="5" t="inlineStr">
        <is>
          <t>BasicDataScreen.tsx</t>
        </is>
      </c>
      <c r="H311" s="16" t="inlineStr">
        <is>
          <t>526–533</t>
        </is>
      </c>
      <c r="I311" s="5" t="inlineStr"/>
      <c r="J311" s="6" t="n"/>
      <c r="K311" s="14" t="n"/>
      <c r="L311" s="6" t="n"/>
    </row>
    <row r="312">
      <c r="A312" s="16" t="n">
        <v>311</v>
      </c>
      <c r="B312" s="16" t="inlineStr">
        <is>
          <t>室長</t>
        </is>
      </c>
      <c r="C312" s="5" t="inlineStr">
        <is>
          <t>B-3. 基本データ</t>
        </is>
      </c>
      <c r="D312" s="16" t="inlineStr">
        <is>
          <t>全教室</t>
        </is>
      </c>
      <c r="E312" s="5" t="inlineStr">
        <is>
          <t>英:高3, 数:中 のように…</t>
        </is>
      </c>
      <c r="F312" s="5" t="inlineStr">
        <is>
          <t>基本データ Excel の「説明」シート</t>
        </is>
      </c>
      <c r="G312" s="5" t="inlineStr">
        <is>
          <t>BasicDataScreen.tsx</t>
        </is>
      </c>
      <c r="H312" s="16" t="inlineStr">
        <is>
          <t>526–533</t>
        </is>
      </c>
      <c r="I312" s="5" t="inlineStr"/>
      <c r="J312" s="6" t="n"/>
      <c r="K312" s="14" t="n"/>
      <c r="L312" s="6" t="n"/>
    </row>
    <row r="313">
      <c r="A313" s="16" t="n">
        <v>312</v>
      </c>
      <c r="B313" s="16" t="inlineStr">
        <is>
          <t>室長</t>
        </is>
      </c>
      <c r="C313" s="5" t="inlineStr">
        <is>
          <t>B-3. 基本データ</t>
        </is>
      </c>
      <c r="D313" s="16" t="inlineStr">
        <is>
          <t>全教室</t>
        </is>
      </c>
      <c r="E313" s="5" t="inlineStr">
        <is>
          <t>YYYY-MM-DD 形式に加えて Excel の日付セルも取り込めます。…</t>
        </is>
      </c>
      <c r="F313" s="5" t="inlineStr">
        <is>
          <t>基本データ Excel の「説明」シート</t>
        </is>
      </c>
      <c r="G313" s="5" t="inlineStr">
        <is>
          <t>BasicDataScreen.tsx</t>
        </is>
      </c>
      <c r="H313" s="16" t="inlineStr">
        <is>
          <t>526–533</t>
        </is>
      </c>
      <c r="I313" s="5" t="inlineStr"/>
      <c r="J313" s="6" t="n"/>
      <c r="K313" s="14" t="n"/>
      <c r="L313" s="6" t="n"/>
    </row>
    <row r="314">
      <c r="A314" s="16" t="n">
        <v>313</v>
      </c>
      <c r="B314" s="16" t="inlineStr">
        <is>
          <t>室長</t>
        </is>
      </c>
      <c r="C314" s="5" t="inlineStr">
        <is>
          <t>B-3. 基本データ</t>
        </is>
      </c>
      <c r="D314" s="16" t="inlineStr">
        <is>
          <t>検証用教室・staging のみ</t>
        </is>
      </c>
      <c r="E314" s="5" t="inlineStr">
        <is>
          <t>保護者用QRを発行しました。忘れずに保存してください。</t>
        </is>
      </c>
      <c r="F314" s="5" t="inlineStr">
        <is>
          <t>QRボタン</t>
        </is>
      </c>
      <c r="G314" s="5" t="inlineStr">
        <is>
          <t>parentPortalQr.ts</t>
        </is>
      </c>
      <c r="H314" s="16" t="inlineStr">
        <is>
          <t>20</t>
        </is>
      </c>
      <c r="I314" s="5" t="inlineStr"/>
      <c r="J314" s="6" t="n"/>
      <c r="K314" s="14" t="n"/>
      <c r="L314" s="6" t="n"/>
    </row>
    <row r="315">
      <c r="A315" s="16" t="n">
        <v>314</v>
      </c>
      <c r="B315" s="16" t="inlineStr">
        <is>
          <t>室長</t>
        </is>
      </c>
      <c r="C315" s="5" t="inlineStr">
        <is>
          <t>B-3. 基本データ</t>
        </is>
      </c>
      <c r="D315" s="16" t="inlineStr">
        <is>
          <t>検証用教室・staging のみ</t>
        </is>
      </c>
      <c r="E315" s="5" t="inlineStr">
        <is>
          <t>保護者用QRを再発行します。今までのQRコードは使えなくなります。よろしいですか？</t>
        </is>
      </c>
      <c r="F315" s="5" t="inlineStr">
        <is>
          <t>QR再発行</t>
        </is>
      </c>
      <c r="G315" s="5" t="inlineStr">
        <is>
          <t>parentPortalQr.ts</t>
        </is>
      </c>
      <c r="H315" s="16" t="inlineStr">
        <is>
          <t>23</t>
        </is>
      </c>
      <c r="I315" s="5" t="inlineStr"/>
      <c r="J315" s="6" t="n"/>
      <c r="K315" s="14" t="n"/>
      <c r="L315" s="6" t="n"/>
    </row>
    <row r="316">
      <c r="A316" s="16" t="n">
        <v>315</v>
      </c>
      <c r="B316" s="16" t="inlineStr">
        <is>
          <t>室長</t>
        </is>
      </c>
      <c r="C316" s="5" t="inlineStr">
        <is>
          <t>B-3. 基本データ</t>
        </is>
      </c>
      <c r="D316" s="16" t="inlineStr">
        <is>
          <t>検証用教室・staging のみ</t>
        </is>
      </c>
      <c r="E316" s="5" t="inlineStr">
        <is>
          <t>保護者用QRを再発行しました。忘れずに保存し、新しいQRを配布してください。</t>
        </is>
      </c>
      <c r="F316" s="5" t="inlineStr">
        <is>
          <t>同上</t>
        </is>
      </c>
      <c r="G316" s="5" t="inlineStr">
        <is>
          <t>parentPortalQr.ts</t>
        </is>
      </c>
      <c r="H316" s="16" t="inlineStr">
        <is>
          <t>24</t>
        </is>
      </c>
      <c r="I316" s="5" t="inlineStr"/>
      <c r="J316" s="6" t="n"/>
      <c r="K316" s="14" t="n"/>
      <c r="L316" s="6" t="n"/>
    </row>
    <row r="317">
      <c r="A317" s="16" t="n">
        <v>316</v>
      </c>
      <c r="B317" s="16" t="inlineStr">
        <is>
          <t>室長</t>
        </is>
      </c>
      <c r="C317" s="5" t="inlineStr">
        <is>
          <t>B-3. 基本データ</t>
        </is>
      </c>
      <c r="D317" s="16" t="inlineStr">
        <is>
          <t>検証用教室・staging のみ</t>
        </is>
      </c>
      <c r="E317" s="5" t="inlineStr">
        <is>
          <t>最新のQRか確認できませんでした。この場で印刷せず、通信状態を確認してから開き直してください。</t>
        </is>
      </c>
      <c r="F317" s="5" t="inlineStr">
        <is>
          <t>同上</t>
        </is>
      </c>
      <c r="G317" s="5" t="inlineStr">
        <is>
          <t>parentPortalQr.ts</t>
        </is>
      </c>
      <c r="H317" s="16" t="inlineStr">
        <is>
          <t>22</t>
        </is>
      </c>
      <c r="I317" s="5" t="inlineStr"/>
      <c r="J317" s="6" t="n"/>
      <c r="K317" s="14" t="n"/>
      <c r="L317" s="6" t="n"/>
    </row>
    <row r="318">
      <c r="A318" s="16" t="n">
        <v>317</v>
      </c>
      <c r="B318" s="16" t="inlineStr">
        <is>
          <t>室長</t>
        </is>
      </c>
      <c r="C318" s="5" t="inlineStr">
        <is>
          <t>B-3. 基本データ</t>
        </is>
      </c>
      <c r="D318" s="16" t="inlineStr">
        <is>
          <t>検証用教室・staging のみ</t>
        </is>
      </c>
      <c r="E318" s="5" t="inlineStr">
        <is>
          <t>保護者用QRの発行に失敗しました。</t>
        </is>
      </c>
      <c r="F318" s="5" t="inlineStr">
        <is>
          <t>同上</t>
        </is>
      </c>
      <c r="G318" s="5" t="inlineStr">
        <is>
          <t>parentPortalQr.ts</t>
        </is>
      </c>
      <c r="H318" s="16" t="inlineStr">
        <is>
          <t>25–26</t>
        </is>
      </c>
      <c r="I318" s="5" t="inlineStr"/>
      <c r="J318" s="6" t="n"/>
      <c r="K318" s="14" t="n"/>
      <c r="L318" s="6" t="n"/>
    </row>
    <row r="319">
      <c r="A319" s="16" t="n">
        <v>318</v>
      </c>
      <c r="B319" s="16" t="inlineStr">
        <is>
          <t>室長</t>
        </is>
      </c>
      <c r="C319" s="5" t="inlineStr">
        <is>
          <t>B-3. 基本データ</t>
        </is>
      </c>
      <c r="D319" s="16" t="inlineStr">
        <is>
          <t>検証用教室・staging のみ</t>
        </is>
      </c>
      <c r="E319" s="5" t="inlineStr">
        <is>
          <t>保護者用URLを作成できません。</t>
        </is>
      </c>
      <c r="F319" s="5" t="inlineStr">
        <is>
          <t>同上</t>
        </is>
      </c>
      <c r="G319" s="5" t="inlineStr">
        <is>
          <t>parentPortalQr.ts</t>
        </is>
      </c>
      <c r="H319" s="16" t="inlineStr">
        <is>
          <t>25–26</t>
        </is>
      </c>
      <c r="I319" s="5" t="inlineStr"/>
      <c r="J319" s="6" t="n"/>
      <c r="K319" s="14" t="n"/>
      <c r="L319" s="6" t="n"/>
    </row>
    <row r="320">
      <c r="A320" s="16" t="n">
        <v>319</v>
      </c>
      <c r="B320" s="16" t="inlineStr">
        <is>
          <t>室長</t>
        </is>
      </c>
      <c r="C320" s="5" t="inlineStr">
        <is>
          <t>B-3. 基本データ</t>
        </is>
      </c>
      <c r="D320" s="16" t="inlineStr">
        <is>
          <t>検証用教室・staging のみ</t>
        </is>
      </c>
      <c r="E320" s="5" t="inlineStr">
        <is>
          <t>印刷ウィンドウを開けませんでした。ポップアップのブロックを解除してください。</t>
        </is>
      </c>
      <c r="F320" s="5" t="inlineStr">
        <is>
          <t>同上</t>
        </is>
      </c>
      <c r="G320" s="5" t="inlineStr">
        <is>
          <t>parentPortalQr.ts</t>
        </is>
      </c>
      <c r="H320" s="16" t="inlineStr">
        <is>
          <t>27</t>
        </is>
      </c>
      <c r="I320" s="5" t="inlineStr"/>
      <c r="J320" s="6" t="n"/>
      <c r="K320" s="14" t="n"/>
      <c r="L320" s="6" t="n"/>
    </row>
    <row r="321">
      <c r="A321" s="16" t="n">
        <v>320</v>
      </c>
      <c r="B321" s="16" t="inlineStr">
        <is>
          <t>室長</t>
        </is>
      </c>
      <c r="C321" s="5" t="inlineStr">
        <is>
          <t>B-3. 基本データ</t>
        </is>
      </c>
      <c r="D321" s="16" t="inlineStr">
        <is>
          <t>検証用教室・staging のみ</t>
        </is>
      </c>
      <c r="E321" s="5" t="inlineStr">
        <is>
          <t>データの保存が終わるとQRを発行できます。</t>
        </is>
      </c>
      <c r="F321" s="5" t="inlineStr">
        <is>
          <t>同上</t>
        </is>
      </c>
      <c r="G321" s="5" t="inlineStr">
        <is>
          <t>parentPortalQr.ts / 31</t>
        </is>
      </c>
      <c r="H321" s="16" t="inlineStr">
        <is>
          <t xml:space="preserve">29 / </t>
        </is>
      </c>
      <c r="I321" s="5" t="inlineStr"/>
      <c r="J321" s="6" t="n"/>
      <c r="K321" s="14" t="n"/>
      <c r="L321" s="6" t="n"/>
    </row>
    <row r="322">
      <c r="A322" s="16" t="n">
        <v>321</v>
      </c>
      <c r="B322" s="16" t="inlineStr">
        <is>
          <t>室長</t>
        </is>
      </c>
      <c r="C322" s="5" t="inlineStr">
        <is>
          <t>B-3. 基本データ</t>
        </is>
      </c>
      <c r="D322" s="16" t="inlineStr">
        <is>
          <t>検証用教室・staging のみ</t>
        </is>
      </c>
      <c r="E322" s="5" t="inlineStr">
        <is>
          <t>QR準備中</t>
        </is>
      </c>
      <c r="F322" s="5" t="inlineStr">
        <is>
          <t>同上</t>
        </is>
      </c>
      <c r="G322" s="5" t="inlineStr">
        <is>
          <t>parentPortalQr.ts / 31</t>
        </is>
      </c>
      <c r="H322" s="16" t="inlineStr">
        <is>
          <t xml:space="preserve">29 / </t>
        </is>
      </c>
      <c r="I322" s="5" t="inlineStr"/>
      <c r="J322" s="6" t="n"/>
      <c r="K322" s="14" t="n"/>
      <c r="L322" s="6" t="n"/>
    </row>
    <row r="323">
      <c r="A323" s="16" t="n">
        <v>322</v>
      </c>
      <c r="B323" s="16" t="inlineStr">
        <is>
          <t>室長</t>
        </is>
      </c>
      <c r="C323" s="5" t="inlineStr">
        <is>
          <t>B-3. 基本データ</t>
        </is>
      </c>
      <c r="D323" s="16" t="inlineStr">
        <is>
          <t>検証用教室・staging のみ</t>
        </is>
      </c>
      <c r="E323" s="5" t="inlineStr">
        <is>
          <t>この生徒が見つかりません。基本データを保存してからもう一度お試しください。</t>
        </is>
      </c>
      <c r="F323" s="5" t="inlineStr">
        <is>
          <t>サーバー側の拒否</t>
        </is>
      </c>
      <c r="G323" s="5" t="inlineStr">
        <is>
          <t>functions / src / index.ts</t>
        </is>
      </c>
      <c r="H323" s="16" t="inlineStr">
        <is>
          <t xml:space="preserve"> /  / 3147</t>
        </is>
      </c>
      <c r="I323" s="5" t="inlineStr"/>
      <c r="J323" s="6" t="n"/>
      <c r="K323" s="14" t="n"/>
      <c r="L323" s="6" t="n"/>
    </row>
    <row r="324">
      <c r="A324" s="16" t="n">
        <v>323</v>
      </c>
      <c r="B324" s="16" t="inlineStr">
        <is>
          <t>室長</t>
        </is>
      </c>
      <c r="C324" s="5" t="inlineStr">
        <is>
          <t>B-3. 基本データ</t>
        </is>
      </c>
      <c r="D324" s="16" t="inlineStr">
        <is>
          <t>全教室</t>
        </is>
      </c>
      <c r="E324" s="5" t="inlineStr">
        <is>
          <t>保護者用QRはこの教室ではまだ利用できません。</t>
        </is>
      </c>
      <c r="F324" s="5" t="inlineStr">
        <is>
          <t>同上</t>
        </is>
      </c>
      <c r="G324" s="5" t="inlineStr">
        <is>
          <t>functions / src / index.ts</t>
        </is>
      </c>
      <c r="H324" s="16" t="inlineStr">
        <is>
          <t xml:space="preserve"> /  / 3137</t>
        </is>
      </c>
      <c r="I324" s="5" t="inlineStr"/>
      <c r="J324" s="6" t="n"/>
      <c r="K324" s="14" t="n"/>
      <c r="L324" s="6" t="n"/>
    </row>
    <row r="325">
      <c r="A325" s="12" t="n">
        <v>324</v>
      </c>
      <c r="B325" s="12" t="inlineStr">
        <is>
          <t>室長</t>
        </is>
      </c>
      <c r="C325" s="13" t="inlineStr">
        <is>
          <t>B-4. 特別講習データ</t>
        </is>
      </c>
      <c r="D325" s="12" t="inlineStr">
        <is>
          <t>全教室</t>
        </is>
      </c>
      <c r="E325" s="13" t="inlineStr">
        <is>
          <t>ここでは講習名と講習期間だけを管理します。欠席不可コマ・希望科目数の登録は日程表（生徒/講師）とQRから行います。</t>
        </is>
      </c>
      <c r="F325" s="13" t="inlineStr">
        <is>
          <t>画面上部の説明</t>
        </is>
      </c>
      <c r="G325" s="13" t="inlineStr">
        <is>
          <t>SpecialSessionScreen.tsx</t>
        </is>
      </c>
      <c r="H325" s="12" t="inlineStr">
        <is>
          <t>750</t>
        </is>
      </c>
      <c r="I325" s="13" t="inlineStr"/>
      <c r="J325" s="6" t="n"/>
      <c r="K325" s="14" t="n"/>
      <c r="L325" s="6" t="n"/>
    </row>
    <row r="326">
      <c r="A326" s="12" t="n">
        <v>325</v>
      </c>
      <c r="B326" s="12" t="inlineStr">
        <is>
          <t>室長</t>
        </is>
      </c>
      <c r="C326" s="13" t="inlineStr">
        <is>
          <t>B-4. 特別講習データ</t>
        </is>
      </c>
      <c r="D326" s="12" t="inlineStr">
        <is>
          <t>全教室</t>
        </is>
      </c>
      <c r="E326" s="13" t="inlineStr">
        <is>
          <t>欠席不可コマ・希望科目数の登録は日程表（生徒/講師）とQRから行います。</t>
        </is>
      </c>
      <c r="F326" s="13" t="inlineStr">
        <is>
          <t>一覧下の注記（重複）</t>
        </is>
      </c>
      <c r="G326" s="13" t="inlineStr">
        <is>
          <t>SpecialSessionScreen.tsx</t>
        </is>
      </c>
      <c r="H326" s="12" t="inlineStr">
        <is>
          <t>857</t>
        </is>
      </c>
      <c r="I326" s="13" t="inlineStr"/>
      <c r="J326" s="6" t="n"/>
      <c r="K326" s="14" t="n"/>
      <c r="L326" s="6" t="n"/>
    </row>
    <row r="327">
      <c r="A327" s="12" t="n">
        <v>326</v>
      </c>
      <c r="B327" s="12" t="inlineStr">
        <is>
          <t>室長</t>
        </is>
      </c>
      <c r="C327" s="13" t="inlineStr">
        <is>
          <t>B-4. 特別講習データ</t>
        </is>
      </c>
      <c r="D327" s="12" t="inlineStr">
        <is>
          <t>全教室</t>
        </is>
      </c>
      <c r="E327" s="13" t="inlineStr">
        <is>
          <t>開始日と終了日を順にクリックしてください。</t>
        </is>
      </c>
      <c r="F327" s="13" t="inlineStr">
        <is>
          <t>期間カレンダー</t>
        </is>
      </c>
      <c r="G327" s="13" t="inlineStr">
        <is>
          <t>SpecialSessionScreen.tsx / 840</t>
        </is>
      </c>
      <c r="H327" s="12" t="inlineStr">
        <is>
          <t xml:space="preserve">779 / </t>
        </is>
      </c>
      <c r="I327" s="13" t="inlineStr"/>
      <c r="J327" s="6" t="n"/>
      <c r="K327" s="14" t="n"/>
      <c r="L327" s="6" t="n"/>
    </row>
    <row r="328">
      <c r="A328" s="12" t="n">
        <v>327</v>
      </c>
      <c r="B328" s="12" t="inlineStr">
        <is>
          <t>室長</t>
        </is>
      </c>
      <c r="C328" s="13" t="inlineStr">
        <is>
          <t>B-4. 特別講習データ</t>
        </is>
      </c>
      <c r="D328" s="12" t="inlineStr">
        <is>
          <t>全教室</t>
        </is>
      </c>
      <c r="E328" s="13" t="inlineStr">
        <is>
          <t>◯月◯日 を開始日にしました。終了日を選択してください。</t>
        </is>
      </c>
      <c r="F328" s="13" t="inlineStr">
        <is>
          <t>期間カレンダー</t>
        </is>
      </c>
      <c r="G328" s="13" t="inlineStr">
        <is>
          <t>SpecialSessionScreen.tsx / 840</t>
        </is>
      </c>
      <c r="H328" s="12" t="inlineStr">
        <is>
          <t xml:space="preserve">779 / </t>
        </is>
      </c>
      <c r="I328" s="13" t="inlineStr"/>
      <c r="J328" s="6" t="n"/>
      <c r="K328" s="14" t="n"/>
      <c r="L328" s="6" t="n"/>
    </row>
    <row r="329">
      <c r="A329" s="12" t="n">
        <v>328</v>
      </c>
      <c r="B329" s="12" t="inlineStr">
        <is>
          <t>室長</t>
        </is>
      </c>
      <c r="C329" s="13" t="inlineStr">
        <is>
          <t>B-4. 特別講習データ</t>
        </is>
      </c>
      <c r="D329" s="12" t="inlineStr">
        <is>
          <t>全教室</t>
        </is>
      </c>
      <c r="E329" s="13" t="inlineStr">
        <is>
          <t>講習名を入力してください。</t>
        </is>
      </c>
      <c r="F329" s="13" t="inlineStr">
        <is>
          <t>入力エラー</t>
        </is>
      </c>
      <c r="G329" s="13" t="inlineStr">
        <is>
          <t>SpecialSessionScreen.tsx / 682</t>
        </is>
      </c>
      <c r="H329" s="12" t="inlineStr">
        <is>
          <t xml:space="preserve">678 / </t>
        </is>
      </c>
      <c r="I329" s="13" t="inlineStr"/>
      <c r="J329" s="6" t="n"/>
      <c r="K329" s="14" t="n"/>
      <c r="L329" s="6" t="n"/>
    </row>
    <row r="330">
      <c r="A330" s="12" t="n">
        <v>329</v>
      </c>
      <c r="B330" s="12" t="inlineStr">
        <is>
          <t>室長</t>
        </is>
      </c>
      <c r="C330" s="13" t="inlineStr">
        <is>
          <t>B-4. 特別講習データ</t>
        </is>
      </c>
      <c r="D330" s="12" t="inlineStr">
        <is>
          <t>全教室</t>
        </is>
      </c>
      <c r="E330" s="13" t="inlineStr">
        <is>
          <t>講習期間はカレンダーで開始日と終了日を選択してください。</t>
        </is>
      </c>
      <c r="F330" s="13" t="inlineStr">
        <is>
          <t>入力エラー</t>
        </is>
      </c>
      <c r="G330" s="13" t="inlineStr">
        <is>
          <t>SpecialSessionScreen.tsx / 682</t>
        </is>
      </c>
      <c r="H330" s="12" t="inlineStr">
        <is>
          <t xml:space="preserve">678 / </t>
        </is>
      </c>
      <c r="I330" s="13" t="inlineStr"/>
      <c r="J330" s="6" t="n"/>
      <c r="K330" s="14" t="n"/>
      <c r="L330" s="6" t="n"/>
    </row>
    <row r="331">
      <c r="A331" s="12" t="n">
        <v>330</v>
      </c>
      <c r="B331" s="12" t="inlineStr">
        <is>
          <t>室長</t>
        </is>
      </c>
      <c r="C331" s="13" t="inlineStr">
        <is>
          <t>B-4. 特別講習データ</t>
        </is>
      </c>
      <c r="D331" s="12" t="inlineStr">
        <is>
          <t>全教室</t>
        </is>
      </c>
      <c r="E331" s="13" t="inlineStr">
        <is>
          <t>同じ講習名の特別講習データが既にあります。重複を解消してください。</t>
        </is>
      </c>
      <c r="F331" s="13" t="inlineStr">
        <is>
          <t>重複チェック</t>
        </is>
      </c>
      <c r="G331" s="13" t="inlineStr">
        <is>
          <t>SpecialSessionScreen.tsx</t>
        </is>
      </c>
      <c r="H331" s="12" t="inlineStr">
        <is>
          <t>115</t>
        </is>
      </c>
      <c r="I331" s="13" t="inlineStr"/>
      <c r="J331" s="6" t="n"/>
      <c r="K331" s="14" t="n"/>
      <c r="L331" s="6" t="n"/>
    </row>
    <row r="332">
      <c r="A332" s="12" t="n">
        <v>331</v>
      </c>
      <c r="B332" s="12" t="inlineStr">
        <is>
          <t>室長</t>
        </is>
      </c>
      <c r="C332" s="13" t="inlineStr">
        <is>
          <t>B-4. 特別講習データ</t>
        </is>
      </c>
      <c r="D332" s="12" t="inlineStr">
        <is>
          <t>全教室</t>
        </is>
      </c>
      <c r="E332" s="13" t="inlineStr">
        <is>
          <t>「◯◯」と講習期間が重複しています。同期間の特別講習は作成できません。</t>
        </is>
      </c>
      <c r="F332" s="13" t="inlineStr">
        <is>
          <t>期間重複</t>
        </is>
      </c>
      <c r="G332" s="13" t="inlineStr">
        <is>
          <t>SpecialSessionScreen.tsx</t>
        </is>
      </c>
      <c r="H332" s="12" t="inlineStr">
        <is>
          <t>120</t>
        </is>
      </c>
      <c r="I332" s="13" t="inlineStr"/>
      <c r="J332" s="6" t="n"/>
      <c r="K332" s="14" t="n"/>
      <c r="L332" s="6" t="n"/>
    </row>
    <row r="333">
      <c r="A333" s="12" t="n">
        <v>332</v>
      </c>
      <c r="B333" s="12" t="inlineStr">
        <is>
          <t>室長</t>
        </is>
      </c>
      <c r="C333" s="13" t="inlineStr">
        <is>
          <t>B-4. 特別講習データ</t>
        </is>
      </c>
      <c r="D333" s="12" t="inlineStr">
        <is>
          <t>全教室</t>
        </is>
      </c>
      <c r="E333" s="13" t="inlineStr">
        <is>
          <t>この特別講習データを削除します。よろしいですか。</t>
        </is>
      </c>
      <c r="F333" s="13" t="inlineStr">
        <is>
          <t>削除確認</t>
        </is>
      </c>
      <c r="G333" s="13" t="inlineStr">
        <is>
          <t>SpecialSessionScreen.tsx</t>
        </is>
      </c>
      <c r="H333" s="12" t="inlineStr">
        <is>
          <t>629</t>
        </is>
      </c>
      <c r="I333" s="13" t="inlineStr"/>
      <c r="J333" s="6" t="n"/>
      <c r="K333" s="14" t="n"/>
      <c r="L333" s="6" t="n"/>
    </row>
    <row r="334">
      <c r="A334" s="12" t="n">
        <v>333</v>
      </c>
      <c r="B334" s="12" t="inlineStr">
        <is>
          <t>室長</t>
        </is>
      </c>
      <c r="C334" s="13" t="inlineStr">
        <is>
          <t>B-4. 特別講習データ</t>
        </is>
      </c>
      <c r="D334" s="12" t="inlineStr">
        <is>
          <t>全教室</t>
        </is>
      </c>
      <c r="E334" s="13" t="inlineStr">
        <is>
          <t>特別講習データを追加/更新/削除しました。</t>
        </is>
      </c>
      <c r="F334" s="13" t="inlineStr">
        <is>
          <t>完了</t>
        </is>
      </c>
      <c r="G334" s="13" t="inlineStr">
        <is>
          <t>SpecialSessionScreen.tsx / 616 / 641</t>
        </is>
      </c>
      <c r="H334" s="12" t="inlineStr">
        <is>
          <t xml:space="preserve">711 /  / </t>
        </is>
      </c>
      <c r="I334" s="13" t="inlineStr"/>
      <c r="J334" s="6" t="n"/>
      <c r="K334" s="14" t="n"/>
      <c r="L334" s="6" t="n"/>
    </row>
    <row r="335">
      <c r="A335" s="12" t="n">
        <v>334</v>
      </c>
      <c r="B335" s="12" t="inlineStr">
        <is>
          <t>室長</t>
        </is>
      </c>
      <c r="C335" s="13" t="inlineStr">
        <is>
          <t>B-4. 特別講習データ</t>
        </is>
      </c>
      <c r="D335" s="12" t="inlineStr">
        <is>
          <t>全教室</t>
        </is>
      </c>
      <c r="E335" s="13" t="inlineStr">
        <is>
          <t>2027 春期講習テスト</t>
        </is>
      </c>
      <c r="F335" s="13" t="inlineStr">
        <is>
          <t>講習名入力欄のプレースホルダ</t>
        </is>
      </c>
      <c r="G335" s="13" t="inlineStr">
        <is>
          <t>SpecialSessionScreen.tsx</t>
        </is>
      </c>
      <c r="H335" s="12" t="inlineStr">
        <is>
          <t>772</t>
        </is>
      </c>
      <c r="I335" s="15" t="inlineStr">
        <is>
          <t>「テスト」の例示</t>
        </is>
      </c>
      <c r="J335" s="6" t="n"/>
      <c r="K335" s="14" t="n"/>
      <c r="L335" s="6" t="n"/>
    </row>
    <row r="336">
      <c r="A336" s="12" t="n">
        <v>335</v>
      </c>
      <c r="B336" s="12" t="inlineStr">
        <is>
          <t>室長</t>
        </is>
      </c>
      <c r="C336" s="13" t="inlineStr">
        <is>
          <t>B-4. 特別講習データ</t>
        </is>
      </c>
      <c r="D336" s="12" t="inlineStr">
        <is>
          <t>全教室</t>
        </is>
      </c>
      <c r="E336" s="13" t="inlineStr">
        <is>
          <t>講習ID を優先して取り込みます。…</t>
        </is>
      </c>
      <c r="F336" s="13" t="inlineStr">
        <is>
          <t>特別講習 Excel</t>
        </is>
      </c>
      <c r="G336" s="13" t="inlineStr">
        <is>
          <t>SpecialSessionScreen.tsx</t>
        </is>
      </c>
      <c r="H336" s="12" t="inlineStr">
        <is>
          <t>363–367</t>
        </is>
      </c>
      <c r="I336" s="13" t="inlineStr"/>
      <c r="J336" s="6" t="n"/>
      <c r="K336" s="14" t="n"/>
      <c r="L336" s="6" t="n"/>
    </row>
    <row r="337">
      <c r="A337" s="12" t="n">
        <v>336</v>
      </c>
      <c r="B337" s="12" t="inlineStr">
        <is>
          <t>室長</t>
        </is>
      </c>
      <c r="C337" s="13" t="inlineStr">
        <is>
          <t>B-4. 特別講習データ</t>
        </is>
      </c>
      <c r="D337" s="12" t="inlineStr">
        <is>
          <t>全教室</t>
        </is>
      </c>
      <c r="E337" s="13" t="inlineStr">
        <is>
          <t>参加不可コマは \</t>
        </is>
      </c>
      <c r="F337" s="13" t="inlineStr">
        <is>
          <t>特別講習 Excel</t>
        </is>
      </c>
      <c r="G337" s="13" t="inlineStr">
        <is>
          <t>SpecialSessionScreen.tsx</t>
        </is>
      </c>
      <c r="H337" s="12" t="inlineStr">
        <is>
          <t>363–367</t>
        </is>
      </c>
      <c r="I337" s="13" t="inlineStr"/>
      <c r="J337" s="6" t="n"/>
      <c r="K337" s="14" t="n"/>
      <c r="L337" s="6" t="n"/>
    </row>
    <row r="338">
      <c r="A338" s="12" t="n">
        <v>337</v>
      </c>
      <c r="B338" s="12" t="inlineStr">
        <is>
          <t>室長</t>
        </is>
      </c>
      <c r="C338" s="13" t="inlineStr">
        <is>
          <t>B-4. 特別講習データ</t>
        </is>
      </c>
      <c r="D338" s="12" t="inlineStr">
        <is>
          <t>全教室</t>
        </is>
      </c>
      <c r="E338" s="13" t="inlineStr">
        <is>
          <t>のように…</t>
        </is>
      </c>
      <c r="F338" s="13" t="inlineStr">
        <is>
          <t>特別講習 Excel</t>
        </is>
      </c>
      <c r="G338" s="13" t="inlineStr">
        <is>
          <t>SpecialSessionScreen.tsx</t>
        </is>
      </c>
      <c r="H338" s="12" t="inlineStr">
        <is>
          <t>363–367</t>
        </is>
      </c>
      <c r="I338" s="13" t="inlineStr"/>
      <c r="J338" s="6" t="n"/>
      <c r="K338" s="14" t="n"/>
      <c r="L338" s="6" t="n"/>
    </row>
    <row r="339">
      <c r="A339" s="16" t="n">
        <v>338</v>
      </c>
      <c r="B339" s="16" t="inlineStr">
        <is>
          <t>室長</t>
        </is>
      </c>
      <c r="C339" s="5" t="inlineStr">
        <is>
          <t>B-5. 自動割振ルール</t>
        </is>
      </c>
      <c r="D339" s="16" t="inlineStr">
        <is>
          <t>全教室</t>
        </is>
      </c>
      <c r="E339" s="5" t="inlineStr">
        <is>
          <t>割振は既存コマの変更を行わず、空いているところへの追加割り振りだけで行います。</t>
        </is>
      </c>
      <c r="F339" s="5" t="inlineStr">
        <is>
          <t>絶対事項の説明</t>
        </is>
      </c>
      <c r="G339" s="5" t="inlineStr">
        <is>
          <t>AutoAssignRuleScreen.tsx</t>
        </is>
      </c>
      <c r="H339" s="16" t="inlineStr">
        <is>
          <t>48</t>
        </is>
      </c>
      <c r="I339" s="5" t="inlineStr"/>
      <c r="J339" s="6" t="n"/>
      <c r="K339" s="14" t="n"/>
      <c r="L339" s="6" t="n"/>
    </row>
    <row r="340">
      <c r="A340" s="16" t="n">
        <v>339</v>
      </c>
      <c r="B340" s="16" t="inlineStr">
        <is>
          <t>室長</t>
        </is>
      </c>
      <c r="C340" s="5" t="inlineStr">
        <is>
          <t>B-5. 自動割振ルール</t>
        </is>
      </c>
      <c r="D340" s="16" t="inlineStr">
        <is>
          <t>全教室</t>
        </is>
      </c>
      <c r="E340" s="5" t="inlineStr">
        <is>
          <t>生徒の出席可能コマだけを候補にして割り振ります。</t>
        </is>
      </c>
      <c r="F340" s="5" t="inlineStr">
        <is>
          <t>同上</t>
        </is>
      </c>
      <c r="G340" s="5" t="inlineStr">
        <is>
          <t>AutoAssignRuleScreen.tsx</t>
        </is>
      </c>
      <c r="H340" s="16" t="inlineStr">
        <is>
          <t>53</t>
        </is>
      </c>
      <c r="I340" s="5" t="inlineStr"/>
      <c r="J340" s="6" t="n"/>
      <c r="K340" s="14" t="n"/>
      <c r="L340" s="6" t="n"/>
    </row>
    <row r="341">
      <c r="A341" s="16" t="n">
        <v>340</v>
      </c>
      <c r="B341" s="16" t="inlineStr">
        <is>
          <t>室長</t>
        </is>
      </c>
      <c r="C341" s="5" t="inlineStr">
        <is>
          <t>B-5. 自動割振ルール</t>
        </is>
      </c>
      <c r="D341" s="16" t="inlineStr">
        <is>
          <t>全教室</t>
        </is>
      </c>
      <c r="E341" s="5" t="inlineStr">
        <is>
          <t>講習ストックはその特別講習期間内に割振ります。</t>
        </is>
      </c>
      <c r="F341" s="5" t="inlineStr">
        <is>
          <t>同上</t>
        </is>
      </c>
      <c r="G341" s="5" t="inlineStr">
        <is>
          <t>AutoAssignRuleScreen.tsx</t>
        </is>
      </c>
      <c r="H341" s="16" t="inlineStr">
        <is>
          <t>58</t>
        </is>
      </c>
      <c r="I341" s="5" t="inlineStr"/>
      <c r="J341" s="6" t="n"/>
      <c r="K341" s="14" t="n"/>
      <c r="L341" s="6" t="n"/>
    </row>
    <row r="342">
      <c r="A342" s="16" t="n">
        <v>341</v>
      </c>
      <c r="B342" s="16" t="inlineStr">
        <is>
          <t>室長</t>
        </is>
      </c>
      <c r="C342" s="5" t="inlineStr">
        <is>
          <t>B-5. 自動割振ルール</t>
        </is>
      </c>
      <c r="D342" s="16" t="inlineStr">
        <is>
          <t>全教室</t>
        </is>
      </c>
      <c r="E342" s="5" t="inlineStr">
        <is>
          <t>登校日集約 / 登校日分散 をひとかたまりとして優先順位を付けます。 ほか制約グループの説明（5件）</t>
        </is>
      </c>
      <c r="F342" s="5" t="inlineStr">
        <is>
          <t>各ルールの説明文</t>
        </is>
      </c>
      <c r="G342" s="5" t="inlineStr">
        <is>
          <t>AutoAssignRuleScreen.tsx</t>
        </is>
      </c>
      <c r="H342" s="16" t="inlineStr">
        <is>
          <t>71–128</t>
        </is>
      </c>
      <c r="I342" s="5" t="inlineStr"/>
      <c r="J342" s="6" t="n"/>
      <c r="K342" s="14" t="n"/>
      <c r="L342" s="6" t="n"/>
    </row>
    <row r="343">
      <c r="A343" s="16" t="n">
        <v>342</v>
      </c>
      <c r="B343" s="16" t="inlineStr">
        <is>
          <t>室長</t>
        </is>
      </c>
      <c r="C343" s="5" t="inlineStr">
        <is>
          <t>B-5. 自動割振ルール</t>
        </is>
      </c>
      <c r="D343" s="16" t="inlineStr">
        <is>
          <t>全教室</t>
        </is>
      </c>
      <c r="E343" s="5" t="inlineStr">
        <is>
          <t>可能な限り 1 卓に 2 人着席を優先します。</t>
        </is>
      </c>
      <c r="F343" s="5" t="inlineStr">
        <is>
          <t>ルール一覧の説明</t>
        </is>
      </c>
      <c r="G343" s="5" t="inlineStr">
        <is>
          <t>autoAssignRuleModel.ts</t>
        </is>
      </c>
      <c r="H343" s="16" t="inlineStr">
        <is>
          <t>154–219</t>
        </is>
      </c>
      <c r="I343" s="5" t="inlineStr"/>
      <c r="J343" s="6" t="n"/>
      <c r="K343" s="14" t="n"/>
      <c r="L343" s="6" t="n"/>
    </row>
    <row r="344">
      <c r="A344" s="16" t="n">
        <v>343</v>
      </c>
      <c r="B344" s="16" t="inlineStr">
        <is>
          <t>室長</t>
        </is>
      </c>
      <c r="C344" s="5" t="inlineStr">
        <is>
          <t>B-5. 自動割振ルール</t>
        </is>
      </c>
      <c r="D344" s="16" t="inlineStr">
        <is>
          <t>全教室</t>
        </is>
      </c>
      <c r="E344" s="5" t="inlineStr">
        <is>
          <t>同一日の授業数を ◯ コマまでに抑えます。</t>
        </is>
      </c>
      <c r="F344" s="5" t="inlineStr">
        <is>
          <t>ルール一覧の説明</t>
        </is>
      </c>
      <c r="G344" s="5" t="inlineStr">
        <is>
          <t>autoAssignRuleModel.ts</t>
        </is>
      </c>
      <c r="H344" s="16" t="inlineStr">
        <is>
          <t>154–219</t>
        </is>
      </c>
      <c r="I344" s="5" t="inlineStr"/>
      <c r="J344" s="6" t="n"/>
      <c r="K344" s="14" t="n"/>
      <c r="L344" s="6" t="n"/>
    </row>
    <row r="345">
      <c r="A345" s="16" t="n">
        <v>344</v>
      </c>
      <c r="B345" s="16" t="inlineStr">
        <is>
          <t>室長</t>
        </is>
      </c>
      <c r="C345" s="5" t="inlineStr">
        <is>
          <t>B-5. 自動割振ルール</t>
        </is>
      </c>
      <c r="D345" s="16" t="inlineStr">
        <is>
          <t>全教室</t>
        </is>
      </c>
      <c r="E345" s="5" t="inlineStr">
        <is>
          <t>連続 2 コマを優先候補に含めます。</t>
        </is>
      </c>
      <c r="F345" s="5" t="inlineStr">
        <is>
          <t>ルール一覧の説明</t>
        </is>
      </c>
      <c r="G345" s="5" t="inlineStr">
        <is>
          <t>autoAssignRuleModel.ts</t>
        </is>
      </c>
      <c r="H345" s="16" t="inlineStr">
        <is>
          <t>154–219</t>
        </is>
      </c>
      <c r="I345" s="5" t="inlineStr"/>
      <c r="J345" s="6" t="n"/>
      <c r="K345" s="14" t="n"/>
      <c r="L345" s="6" t="n"/>
    </row>
    <row r="346">
      <c r="A346" s="16" t="n">
        <v>345</v>
      </c>
      <c r="B346" s="16" t="inlineStr">
        <is>
          <t>室長</t>
        </is>
      </c>
      <c r="C346" s="5" t="inlineStr">
        <is>
          <t>B-5. 自動割振ルール</t>
        </is>
      </c>
      <c r="D346" s="16" t="inlineStr">
        <is>
          <t>全教室</t>
        </is>
      </c>
      <c r="E346" s="5" t="inlineStr">
        <is>
          <t>授業の間に 1 コマ空ける形を優先します。</t>
        </is>
      </c>
      <c r="F346" s="5" t="inlineStr">
        <is>
          <t>ルール一覧の説明</t>
        </is>
      </c>
      <c r="G346" s="5" t="inlineStr">
        <is>
          <t>autoAssignRuleModel.ts</t>
        </is>
      </c>
      <c r="H346" s="16" t="inlineStr">
        <is>
          <t>154–219</t>
        </is>
      </c>
      <c r="I346" s="5" t="inlineStr"/>
      <c r="J346" s="6" t="n"/>
      <c r="K346" s="14" t="n"/>
      <c r="L346" s="6" t="n"/>
    </row>
    <row r="347">
      <c r="A347" s="16" t="n">
        <v>346</v>
      </c>
      <c r="B347" s="16" t="inlineStr">
        <is>
          <t>室長</t>
        </is>
      </c>
      <c r="C347" s="5" t="inlineStr">
        <is>
          <t>B-5. 自動割振ルール</t>
        </is>
      </c>
      <c r="D347" s="16" t="inlineStr">
        <is>
          <t>全教室</t>
        </is>
      </c>
      <c r="E347" s="5" t="inlineStr">
        <is>
          <t>通常授業と連続する配置を優先候補に含めます。</t>
        </is>
      </c>
      <c r="F347" s="5" t="inlineStr">
        <is>
          <t>ルール一覧の説明</t>
        </is>
      </c>
      <c r="G347" s="5" t="inlineStr">
        <is>
          <t>autoAssignRuleModel.ts</t>
        </is>
      </c>
      <c r="H347" s="16" t="inlineStr">
        <is>
          <t>154–219</t>
        </is>
      </c>
      <c r="I347" s="5" t="inlineStr"/>
      <c r="J347" s="6" t="n"/>
      <c r="K347" s="14" t="n"/>
      <c r="L347" s="6" t="n"/>
    </row>
    <row r="348">
      <c r="A348" s="16" t="n">
        <v>347</v>
      </c>
      <c r="B348" s="16" t="inlineStr">
        <is>
          <t>室長</t>
        </is>
      </c>
      <c r="C348" s="5" t="inlineStr">
        <is>
          <t>B-5. 自動割振ルール</t>
        </is>
      </c>
      <c r="D348" s="16" t="inlineStr">
        <is>
          <t>全教室</t>
        </is>
      </c>
      <c r="E348" s="5" t="inlineStr">
        <is>
          <t>講師の科目担当に収まる生徒だけを配置候補にします。</t>
        </is>
      </c>
      <c r="F348" s="5" t="inlineStr">
        <is>
          <t>ルール一覧の説明</t>
        </is>
      </c>
      <c r="G348" s="5" t="inlineStr">
        <is>
          <t>autoAssignRuleModel.ts</t>
        </is>
      </c>
      <c r="H348" s="16" t="inlineStr">
        <is>
          <t>154–219</t>
        </is>
      </c>
      <c r="I348" s="5" t="inlineStr"/>
      <c r="J348" s="6" t="n"/>
      <c r="K348" s="14" t="n"/>
      <c r="L348" s="6" t="n"/>
    </row>
    <row r="349">
      <c r="A349" s="16" t="n">
        <v>348</v>
      </c>
      <c r="B349" s="16" t="inlineStr">
        <is>
          <t>室長</t>
        </is>
      </c>
      <c r="C349" s="5" t="inlineStr">
        <is>
          <t>B-5. 自動割振ルール</t>
        </is>
      </c>
      <c r="D349" s="16" t="inlineStr">
        <is>
          <t>全教室</t>
        </is>
      </c>
      <c r="E349" s="5" t="inlineStr">
        <is>
          <t>割振りを通常授業で担当している講師だけに制限します。</t>
        </is>
      </c>
      <c r="F349" s="5" t="inlineStr">
        <is>
          <t>ルール一覧の説明</t>
        </is>
      </c>
      <c r="G349" s="5" t="inlineStr">
        <is>
          <t>autoAssignRuleModel.ts</t>
        </is>
      </c>
      <c r="H349" s="16" t="inlineStr">
        <is>
          <t>154–219</t>
        </is>
      </c>
      <c r="I349" s="5" t="inlineStr"/>
      <c r="J349" s="6" t="n"/>
      <c r="K349" s="14" t="n"/>
      <c r="L349" s="6" t="n"/>
    </row>
    <row r="350">
      <c r="A350" s="16" t="n">
        <v>349</v>
      </c>
      <c r="B350" s="16" t="inlineStr">
        <is>
          <t>室長</t>
        </is>
      </c>
      <c r="C350" s="5" t="inlineStr">
        <is>
          <t>B-5. 自動割振ルール</t>
        </is>
      </c>
      <c r="D350" s="16" t="inlineStr">
        <is>
          <t>全教室</t>
        </is>
      </c>
      <c r="E350" s="5" t="inlineStr">
        <is>
          <t>優先する時限の順番を 1〜5 限で並べ替えて、上にある時限ほど優先します。</t>
        </is>
      </c>
      <c r="F350" s="5" t="inlineStr">
        <is>
          <t>ルール一覧の説明</t>
        </is>
      </c>
      <c r="G350" s="5" t="inlineStr">
        <is>
          <t>autoAssignRuleModel.ts</t>
        </is>
      </c>
      <c r="H350" s="16" t="inlineStr">
        <is>
          <t>154–219</t>
        </is>
      </c>
      <c r="I350" s="5" t="inlineStr"/>
      <c r="J350" s="6" t="n"/>
      <c r="K350" s="14" t="n"/>
      <c r="L350" s="6" t="n"/>
    </row>
    <row r="351">
      <c r="A351" s="16" t="n">
        <v>350</v>
      </c>
      <c r="B351" s="16" t="inlineStr">
        <is>
          <t>室長</t>
        </is>
      </c>
      <c r="C351" s="5" t="inlineStr">
        <is>
          <t>B-5. 自動割振ルール</t>
        </is>
      </c>
      <c r="D351" s="16" t="inlineStr">
        <is>
          <t>全教室</t>
        </is>
      </c>
      <c r="E351" s="5" t="inlineStr">
        <is>
          <t>対象者を、指定した時限（既定は1限）に配置しないよう制限します。</t>
        </is>
      </c>
      <c r="F351" s="5" t="inlineStr">
        <is>
          <t>ルール一覧の説明</t>
        </is>
      </c>
      <c r="G351" s="5" t="inlineStr">
        <is>
          <t>autoAssignRuleModel.ts</t>
        </is>
      </c>
      <c r="H351" s="16" t="inlineStr">
        <is>
          <t>154–219</t>
        </is>
      </c>
      <c r="I351" s="5" t="inlineStr"/>
      <c r="J351" s="6" t="n"/>
      <c r="K351" s="14" t="n"/>
      <c r="L351" s="6" t="n"/>
    </row>
    <row r="352">
      <c r="A352" s="16" t="n">
        <v>351</v>
      </c>
      <c r="B352" s="16" t="inlineStr">
        <is>
          <t>室長</t>
        </is>
      </c>
      <c r="C352" s="5" t="inlineStr">
        <is>
          <t>B-5. 自動割振ルール</t>
        </is>
      </c>
      <c r="D352" s="16" t="inlineStr">
        <is>
          <t>全教室</t>
        </is>
      </c>
      <c r="E352" s="5" t="inlineStr">
        <is>
          <t>通常・講習を問わず、同じ日の隣り合うコマが同じ科目にならないよう分散します。</t>
        </is>
      </c>
      <c r="F352" s="5" t="inlineStr">
        <is>
          <t>ルール一覧の説明</t>
        </is>
      </c>
      <c r="G352" s="5" t="inlineStr">
        <is>
          <t>autoAssignRuleModel.ts</t>
        </is>
      </c>
      <c r="H352" s="16" t="inlineStr">
        <is>
          <t>154–219</t>
        </is>
      </c>
      <c r="I352" s="5" t="inlineStr"/>
      <c r="J352" s="6" t="n"/>
      <c r="K352" s="14" t="n"/>
      <c r="L352" s="6" t="n"/>
    </row>
    <row r="353">
      <c r="A353" s="16" t="n">
        <v>352</v>
      </c>
      <c r="B353" s="16" t="inlineStr">
        <is>
          <t>室長</t>
        </is>
      </c>
      <c r="C353" s="5" t="inlineStr">
        <is>
          <t>B-5. 自動割振ルール</t>
        </is>
      </c>
      <c r="D353" s="16" t="inlineStr">
        <is>
          <t>全教室</t>
        </is>
      </c>
      <c r="E353" s="5" t="inlineStr">
        <is>
          <t>ここで指定した組み合わせは、同席しないよう制限します。</t>
        </is>
      </c>
      <c r="F353" s="5" t="inlineStr">
        <is>
          <t>ペア制約の説明</t>
        </is>
      </c>
      <c r="G353" s="5" t="inlineStr">
        <is>
          <t>AutoAssignRuleScreen.tsx</t>
        </is>
      </c>
      <c r="H353" s="16" t="inlineStr">
        <is>
          <t>886</t>
        </is>
      </c>
      <c r="I353" s="5" t="inlineStr"/>
      <c r="J353" s="6" t="n"/>
      <c r="K353" s="14" t="n"/>
      <c r="L353" s="6" t="n"/>
    </row>
    <row r="354">
      <c r="A354" s="16" t="n">
        <v>353</v>
      </c>
      <c r="B354" s="16" t="inlineStr">
        <is>
          <t>室長</t>
        </is>
      </c>
      <c r="C354" s="5" t="inlineStr">
        <is>
          <t>B-5. 自動割振ルール</t>
        </is>
      </c>
      <c r="D354" s="16" t="inlineStr">
        <is>
          <t>全教室</t>
        </is>
      </c>
      <c r="E354" s="5" t="inlineStr">
        <is>
          <t>学年別を選ぶ場合は対象学年を 1 つ以上選択してください。</t>
        </is>
      </c>
      <c r="F354" s="5" t="inlineStr">
        <is>
          <t>入力エラー</t>
        </is>
      </c>
      <c r="G354" s="5" t="inlineStr">
        <is>
          <t>AutoAssignRuleScreen.tsx / 524</t>
        </is>
      </c>
      <c r="H354" s="16" t="inlineStr">
        <is>
          <t xml:space="preserve">518 / </t>
        </is>
      </c>
      <c r="I354" s="5" t="inlineStr"/>
      <c r="J354" s="6" t="n"/>
      <c r="K354" s="14" t="n"/>
      <c r="L354" s="6" t="n"/>
    </row>
    <row r="355">
      <c r="A355" s="16" t="n">
        <v>354</v>
      </c>
      <c r="B355" s="16" t="inlineStr">
        <is>
          <t>室長</t>
        </is>
      </c>
      <c r="C355" s="5" t="inlineStr">
        <is>
          <t>B-5. 自動割振ルール</t>
        </is>
      </c>
      <c r="D355" s="16" t="inlineStr">
        <is>
          <t>全教室</t>
        </is>
      </c>
      <c r="E355" s="5" t="inlineStr">
        <is>
          <t>個人指定を選ぶ場合は生徒を 1 人以上選択してください。</t>
        </is>
      </c>
      <c r="F355" s="5" t="inlineStr">
        <is>
          <t>入力エラー</t>
        </is>
      </c>
      <c r="G355" s="5" t="inlineStr">
        <is>
          <t>AutoAssignRuleScreen.tsx / 524</t>
        </is>
      </c>
      <c r="H355" s="16" t="inlineStr">
        <is>
          <t xml:space="preserve">518 / </t>
        </is>
      </c>
      <c r="I355" s="5" t="inlineStr"/>
      <c r="J355" s="6" t="n"/>
      <c r="K355" s="14" t="n"/>
      <c r="L355" s="6" t="n"/>
    </row>
    <row r="356">
      <c r="A356" s="16" t="n">
        <v>355</v>
      </c>
      <c r="B356" s="16" t="inlineStr">
        <is>
          <t>室長</t>
        </is>
      </c>
      <c r="C356" s="5" t="inlineStr">
        <is>
          <t>B-5. 自動割振ルール</t>
        </is>
      </c>
      <c r="D356" s="16" t="inlineStr">
        <is>
          <t>全教室</t>
        </is>
      </c>
      <c r="E356" s="5" t="inlineStr">
        <is>
          <t>同じ対象はすでに登録されています。</t>
        </is>
      </c>
      <c r="F356" s="5" t="inlineStr">
        <is>
          <t>重複</t>
        </is>
      </c>
      <c r="G356" s="5" t="inlineStr">
        <is>
          <t>AutoAssignRuleScreen.tsx</t>
        </is>
      </c>
      <c r="H356" s="16" t="inlineStr">
        <is>
          <t>583</t>
        </is>
      </c>
      <c r="I356" s="5" t="inlineStr"/>
      <c r="J356" s="6" t="n"/>
      <c r="K356" s="14" t="n"/>
      <c r="L356" s="6" t="n"/>
    </row>
    <row r="357">
      <c r="A357" s="16" t="n">
        <v>356</v>
      </c>
      <c r="B357" s="16" t="inlineStr">
        <is>
          <t>室長</t>
        </is>
      </c>
      <c r="C357" s="5" t="inlineStr">
        <is>
          <t>B-5. 自動割振ルール</t>
        </is>
      </c>
      <c r="D357" s="16" t="inlineStr">
        <is>
          <t>全教室</t>
        </is>
      </c>
      <c r="E357" s="5" t="inlineStr">
        <is>
          <t>同じ対象外はすでに登録されています。</t>
        </is>
      </c>
      <c r="F357" s="5" t="inlineStr">
        <is>
          <t>重複</t>
        </is>
      </c>
      <c r="G357" s="5" t="inlineStr">
        <is>
          <t>AutoAssignRuleScreen.tsx</t>
        </is>
      </c>
      <c r="H357" s="16" t="inlineStr">
        <is>
          <t>583</t>
        </is>
      </c>
      <c r="I357" s="5" t="inlineStr"/>
      <c r="J357" s="6" t="n"/>
      <c r="K357" s="14" t="n"/>
      <c r="L357" s="6" t="n"/>
    </row>
    <row r="358">
      <c r="A358" s="16" t="n">
        <v>357</v>
      </c>
      <c r="B358" s="16" t="inlineStr">
        <is>
          <t>室長</t>
        </is>
      </c>
      <c r="C358" s="5" t="inlineStr">
        <is>
          <t>B-5. 自動割振ルール</t>
        </is>
      </c>
      <c r="D358" s="16" t="inlineStr">
        <is>
          <t>全教室</t>
        </is>
      </c>
      <c r="E358" s="5" t="inlineStr">
        <is>
          <t>対象外が優先されるため、◯◯ は対象外として扱われます。</t>
        </is>
      </c>
      <c r="F358" s="5" t="inlineStr">
        <is>
          <t>重なり警告</t>
        </is>
      </c>
      <c r="G358" s="5" t="inlineStr">
        <is>
          <t>AutoAssignRuleScreen.tsx</t>
        </is>
      </c>
      <c r="H358" s="16" t="inlineStr">
        <is>
          <t>589</t>
        </is>
      </c>
      <c r="I358" s="5" t="inlineStr"/>
      <c r="J358" s="6" t="n"/>
      <c r="K358" s="14" t="n"/>
      <c r="L358" s="6" t="n"/>
    </row>
    <row r="359">
      <c r="A359" s="16" t="n">
        <v>358</v>
      </c>
      <c r="B359" s="16" t="inlineStr">
        <is>
          <t>室長</t>
        </is>
      </c>
      <c r="C359" s="5" t="inlineStr">
        <is>
          <t>B-5. 自動割振ルール</t>
        </is>
      </c>
      <c r="D359" s="16" t="inlineStr">
        <is>
          <t>全教室</t>
        </is>
      </c>
      <c r="E359" s="5" t="inlineStr">
        <is>
          <t>ペア制約を追加するには人物Aと人物Bを選択してください。</t>
        </is>
      </c>
      <c r="F359" s="5" t="inlineStr">
        <is>
          <t>ペア制約の操作</t>
        </is>
      </c>
      <c r="G359" s="5" t="inlineStr">
        <is>
          <t>AutoAssignRuleScreen.tsx</t>
        </is>
      </c>
      <c r="H359" s="16" t="inlineStr">
        <is>
          <t>732–758</t>
        </is>
      </c>
      <c r="I359" s="5" t="inlineStr"/>
      <c r="J359" s="6" t="n"/>
      <c r="K359" s="14" t="n"/>
      <c r="L359" s="6" t="n"/>
    </row>
    <row r="360">
      <c r="A360" s="16" t="n">
        <v>359</v>
      </c>
      <c r="B360" s="16" t="inlineStr">
        <is>
          <t>室長</t>
        </is>
      </c>
      <c r="C360" s="5" t="inlineStr">
        <is>
          <t>B-5. 自動割振ルール</t>
        </is>
      </c>
      <c r="D360" s="16" t="inlineStr">
        <is>
          <t>全教室</t>
        </is>
      </c>
      <c r="E360" s="5" t="inlineStr">
        <is>
          <t>同じ人物どうしはペア制約に登録できません。</t>
        </is>
      </c>
      <c r="F360" s="5" t="inlineStr">
        <is>
          <t>ペア制約の操作</t>
        </is>
      </c>
      <c r="G360" s="5" t="inlineStr">
        <is>
          <t>AutoAssignRuleScreen.tsx</t>
        </is>
      </c>
      <c r="H360" s="16" t="inlineStr">
        <is>
          <t>732–758</t>
        </is>
      </c>
      <c r="I360" s="5" t="inlineStr"/>
      <c r="J360" s="6" t="n"/>
      <c r="K360" s="14" t="n"/>
      <c r="L360" s="6" t="n"/>
    </row>
    <row r="361">
      <c r="A361" s="16" t="n">
        <v>360</v>
      </c>
      <c r="B361" s="16" t="inlineStr">
        <is>
          <t>室長</t>
        </is>
      </c>
      <c r="C361" s="5" t="inlineStr">
        <is>
          <t>B-5. 自動割振ルール</t>
        </is>
      </c>
      <c r="D361" s="16" t="inlineStr">
        <is>
          <t>全教室</t>
        </is>
      </c>
      <c r="E361" s="5" t="inlineStr">
        <is>
          <t>同じペア制約はすでに登録されています。</t>
        </is>
      </c>
      <c r="F361" s="5" t="inlineStr">
        <is>
          <t>ペア制約の操作</t>
        </is>
      </c>
      <c r="G361" s="5" t="inlineStr">
        <is>
          <t>AutoAssignRuleScreen.tsx</t>
        </is>
      </c>
      <c r="H361" s="16" t="inlineStr">
        <is>
          <t>732–758</t>
        </is>
      </c>
      <c r="I361" s="5" t="inlineStr"/>
      <c r="J361" s="6" t="n"/>
      <c r="K361" s="14" t="n"/>
      <c r="L361" s="6" t="n"/>
    </row>
    <row r="362">
      <c r="A362" s="16" t="n">
        <v>361</v>
      </c>
      <c r="B362" s="16" t="inlineStr">
        <is>
          <t>室長</t>
        </is>
      </c>
      <c r="C362" s="5" t="inlineStr">
        <is>
          <t>B-5. 自動割振ルール</t>
        </is>
      </c>
      <c r="D362" s="16" t="inlineStr">
        <is>
          <t>全教室</t>
        </is>
      </c>
      <c r="E362" s="5" t="inlineStr">
        <is>
          <t>このペア制約を削除します。よろしいですか。</t>
        </is>
      </c>
      <c r="F362" s="5" t="inlineStr">
        <is>
          <t>ペア制約の操作</t>
        </is>
      </c>
      <c r="G362" s="5" t="inlineStr">
        <is>
          <t>AutoAssignRuleScreen.tsx</t>
        </is>
      </c>
      <c r="H362" s="16" t="inlineStr">
        <is>
          <t>732–758</t>
        </is>
      </c>
      <c r="I362" s="5" t="inlineStr"/>
      <c r="J362" s="6" t="n"/>
      <c r="K362" s="14" t="n"/>
      <c r="L362" s="6" t="n"/>
    </row>
    <row r="363">
      <c r="A363" s="16" t="n">
        <v>362</v>
      </c>
      <c r="B363" s="16" t="inlineStr">
        <is>
          <t>室長</t>
        </is>
      </c>
      <c r="C363" s="5" t="inlineStr">
        <is>
          <t>B-5. 自動割振ルール</t>
        </is>
      </c>
      <c r="D363" s="16" t="inlineStr">
        <is>
          <t>全教室</t>
        </is>
      </c>
      <c r="E363" s="5" t="inlineStr">
        <is>
          <t>ペア制約はまだありません。</t>
        </is>
      </c>
      <c r="F363" s="5" t="inlineStr">
        <is>
          <t>空表示</t>
        </is>
      </c>
      <c r="G363" s="5" t="inlineStr">
        <is>
          <t>AutoAssignRuleScreen.tsx / 1116 / 1139</t>
        </is>
      </c>
      <c r="H363" s="16" t="inlineStr">
        <is>
          <t xml:space="preserve">964 /  / </t>
        </is>
      </c>
      <c r="I363" s="5" t="inlineStr"/>
      <c r="J363" s="6" t="n"/>
      <c r="K363" s="14" t="n"/>
      <c r="L363" s="6" t="n"/>
    </row>
    <row r="364">
      <c r="A364" s="16" t="n">
        <v>363</v>
      </c>
      <c r="B364" s="16" t="inlineStr">
        <is>
          <t>室長</t>
        </is>
      </c>
      <c r="C364" s="5" t="inlineStr">
        <is>
          <t>B-5. 自動割振ルール</t>
        </is>
      </c>
      <c r="D364" s="16" t="inlineStr">
        <is>
          <t>全教室</t>
        </is>
      </c>
      <c r="E364" s="5" t="inlineStr">
        <is>
          <t>同じ制約グループ内で選べる学年はありません。</t>
        </is>
      </c>
      <c r="F364" s="5" t="inlineStr">
        <is>
          <t>空表示</t>
        </is>
      </c>
      <c r="G364" s="5" t="inlineStr">
        <is>
          <t>AutoAssignRuleScreen.tsx / 1116 / 1139</t>
        </is>
      </c>
      <c r="H364" s="16" t="inlineStr">
        <is>
          <t xml:space="preserve">964 /  / </t>
        </is>
      </c>
      <c r="I364" s="5" t="inlineStr"/>
      <c r="J364" s="6" t="n"/>
      <c r="K364" s="14" t="n"/>
      <c r="L364" s="6" t="n"/>
    </row>
    <row r="365">
      <c r="A365" s="16" t="n">
        <v>364</v>
      </c>
      <c r="B365" s="16" t="inlineStr">
        <is>
          <t>室長</t>
        </is>
      </c>
      <c r="C365" s="5" t="inlineStr">
        <is>
          <t>B-5. 自動割振ルール</t>
        </is>
      </c>
      <c r="D365" s="16" t="inlineStr">
        <is>
          <t>全教室</t>
        </is>
      </c>
      <c r="E365" s="5" t="inlineStr">
        <is>
          <t>同じ制約グループ内で選べる個人はありません。</t>
        </is>
      </c>
      <c r="F365" s="5" t="inlineStr">
        <is>
          <t>空表示</t>
        </is>
      </c>
      <c r="G365" s="5" t="inlineStr">
        <is>
          <t>AutoAssignRuleScreen.tsx / 1116 / 1139</t>
        </is>
      </c>
      <c r="H365" s="16" t="inlineStr">
        <is>
          <t xml:space="preserve">964 /  / </t>
        </is>
      </c>
      <c r="I365" s="5" t="inlineStr"/>
      <c r="J365" s="6" t="n"/>
      <c r="K365" s="14" t="n"/>
      <c r="L365" s="6" t="n"/>
    </row>
    <row r="366">
      <c r="A366" s="16" t="n">
        <v>365</v>
      </c>
      <c r="B366" s="16" t="inlineStr">
        <is>
          <t>室長</t>
        </is>
      </c>
      <c r="C366" s="5" t="inlineStr">
        <is>
          <t>B-5. 自動割振ルール</t>
        </is>
      </c>
      <c r="D366" s="16" t="inlineStr">
        <is>
          <t>全教室</t>
        </is>
      </c>
      <c r="E366" s="5" t="inlineStr">
        <is>
          <t>Excel「説明」シート（all または grade:中1 または students:… を</t>
        </is>
      </c>
      <c r="F366" s="5" t="inlineStr">
        <is>
          <t>区切りで並べます。 / current 出力のルールキーをそのまま使ってください。未知のキーは取り込みません。 ほか7件）</t>
        </is>
      </c>
      <c r="G366" s="5" t="inlineStr">
        <is>
          <t>自動割振ルール Excel</t>
        </is>
      </c>
      <c r="H366" s="16" t="inlineStr"/>
      <c r="I366" s="15" t="inlineStr">
        <is>
          <t>「ルールキー」は内部用語</t>
        </is>
      </c>
      <c r="J366" s="6" t="n"/>
      <c r="K366" s="14" t="n"/>
      <c r="L366" s="6" t="n"/>
    </row>
    <row r="367">
      <c r="A367" s="16" t="n">
        <v>366</v>
      </c>
      <c r="B367" s="16" t="inlineStr">
        <is>
          <t>室長</t>
        </is>
      </c>
      <c r="C367" s="5" t="inlineStr">
        <is>
          <t>B-5. 自動割振ルール</t>
        </is>
      </c>
      <c r="D367" s="16" t="inlineStr">
        <is>
          <t>全教室</t>
        </is>
      </c>
      <c r="E367" s="5" t="inlineStr">
        <is>
          <t>(割り振れるコマがありませんでした。手動で講習期間外に割り振るなどしてください。)</t>
        </is>
      </c>
      <c r="F367" s="5" t="inlineStr">
        <is>
          <t>自動割振の結果モーダル</t>
        </is>
      </c>
      <c r="G367" s="5" t="inlineStr">
        <is>
          <t>ScheduleBoardScreen.tsx</t>
        </is>
      </c>
      <c r="H367" s="16" t="inlineStr">
        <is>
          <t>12642</t>
        </is>
      </c>
      <c r="I367" s="5" t="inlineStr"/>
      <c r="J367" s="6" t="n"/>
      <c r="K367" s="14" t="n"/>
      <c r="L367" s="6" t="n"/>
    </row>
    <row r="368">
      <c r="A368" s="16" t="n">
        <v>367</v>
      </c>
      <c r="B368" s="16" t="inlineStr">
        <is>
          <t>室長</t>
        </is>
      </c>
      <c r="C368" s="5" t="inlineStr">
        <is>
          <t>B-5. 自動割振ルール</t>
        </is>
      </c>
      <c r="D368" s="16" t="inlineStr">
        <is>
          <t>全教室</t>
        </is>
      </c>
      <c r="E368" s="5" t="inlineStr">
        <is>
          <t>◯◯ は条件に合う空きコマが見つからず、自動割振できませんでした。</t>
        </is>
      </c>
      <c r="F368" s="5" t="inlineStr">
        <is>
          <t>同上</t>
        </is>
      </c>
      <c r="G368" s="5" t="inlineStr">
        <is>
          <t>ScheduleBoardScreen.tsx</t>
        </is>
      </c>
      <c r="H368" s="16" t="inlineStr">
        <is>
          <t>9781</t>
        </is>
      </c>
      <c r="I368" s="5" t="inlineStr"/>
      <c r="J368" s="6" t="n"/>
      <c r="K368" s="14" t="n"/>
      <c r="L368" s="6" t="n"/>
    </row>
    <row r="369">
      <c r="A369" s="16" t="n">
        <v>368</v>
      </c>
      <c r="B369" s="16" t="inlineStr">
        <is>
          <t>室長</t>
        </is>
      </c>
      <c r="C369" s="5" t="inlineStr">
        <is>
          <t>B-5. 自動割振ルール</t>
        </is>
      </c>
      <c r="D369" s="16" t="inlineStr">
        <is>
          <t>全教室</t>
        </is>
      </c>
      <c r="E369" s="5" t="inlineStr">
        <is>
          <t>◯◯ を自動割振しました。講習◯コマ・振替◯コマ配置しました。</t>
        </is>
      </c>
      <c r="F369" s="5" t="inlineStr">
        <is>
          <t>同上</t>
        </is>
      </c>
      <c r="G369" s="5" t="inlineStr">
        <is>
          <t>ScheduleBoardScreen.tsx</t>
        </is>
      </c>
      <c r="H369" s="16" t="inlineStr">
        <is>
          <t>9829–9835</t>
        </is>
      </c>
      <c r="I369" s="5" t="inlineStr"/>
      <c r="J369" s="6" t="n"/>
      <c r="K369" s="14" t="n"/>
      <c r="L369" s="6" t="n"/>
    </row>
    <row r="370">
      <c r="A370" s="16" t="n">
        <v>369</v>
      </c>
      <c r="B370" s="16" t="inlineStr">
        <is>
          <t>室長</t>
        </is>
      </c>
      <c r="C370" s="5" t="inlineStr">
        <is>
          <t>B-5. 自動割振ルール</t>
        </is>
      </c>
      <c r="D370" s="16" t="inlineStr">
        <is>
          <t>全教室</t>
        </is>
      </c>
      <c r="E370" s="5" t="inlineStr">
        <is>
          <t>講習◯コマは候補不足でストックに残しています。</t>
        </is>
      </c>
      <c r="F370" s="5" t="inlineStr">
        <is>
          <t>同上（同じ画面・同じダイアログの続き）</t>
        </is>
      </c>
      <c r="G370" s="5" t="inlineStr">
        <is>
          <t>ScheduleBoardScreen.tsx</t>
        </is>
      </c>
      <c r="H370" s="16" t="inlineStr">
        <is>
          <t>9829–9835</t>
        </is>
      </c>
      <c r="I370" s="5" t="inlineStr"/>
      <c r="J370" s="6" t="n"/>
      <c r="K370" s="14" t="n"/>
      <c r="L370" s="6" t="n"/>
    </row>
    <row r="371">
      <c r="A371" s="16" t="n">
        <v>370</v>
      </c>
      <c r="B371" s="16" t="inlineStr">
        <is>
          <t>室長</t>
        </is>
      </c>
      <c r="C371" s="5" t="inlineStr">
        <is>
          <t>B-5. 自動割振ルール</t>
        </is>
      </c>
      <c r="D371" s="16" t="inlineStr">
        <is>
          <t>全教室</t>
        </is>
      </c>
      <c r="E371" s="5" t="inlineStr">
        <is>
          <t>指定時限のため不利</t>
        </is>
      </c>
      <c r="F371" s="5" t="inlineStr">
        <is>
          <t>自動割振の候補スコア内訳</t>
        </is>
      </c>
      <c r="G371" s="5" t="inlineStr">
        <is>
          <t>ScheduleBoardScreen.tsx / 7021–7137</t>
        </is>
      </c>
      <c r="H371" s="16" t="inlineStr">
        <is>
          <t xml:space="preserve">590–612 / </t>
        </is>
      </c>
      <c r="I371" s="15" t="inlineStr">
        <is>
          <t>「不利」「対象ルールなし」は独特の言い回し</t>
        </is>
      </c>
      <c r="J371" s="6" t="n"/>
      <c r="K371" s="14" t="n"/>
      <c r="L371" s="6" t="n"/>
    </row>
    <row r="372">
      <c r="A372" s="16" t="n">
        <v>371</v>
      </c>
      <c r="B372" s="16" t="inlineStr">
        <is>
          <t>室長</t>
        </is>
      </c>
      <c r="C372" s="5" t="inlineStr">
        <is>
          <t>B-5. 自動割振ルール</t>
        </is>
      </c>
      <c r="D372" s="16" t="inlineStr">
        <is>
          <t>全教室</t>
        </is>
      </c>
      <c r="E372" s="5" t="inlineStr">
        <is>
          <t>科目対応外のため不利</t>
        </is>
      </c>
      <c r="F372" s="5" t="inlineStr">
        <is>
          <t>自動割振の候補スコア内訳</t>
        </is>
      </c>
      <c r="G372" s="5" t="inlineStr">
        <is>
          <t>ScheduleBoardScreen.tsx / 7021–7137</t>
        </is>
      </c>
      <c r="H372" s="16" t="inlineStr">
        <is>
          <t xml:space="preserve">590–612 / </t>
        </is>
      </c>
      <c r="I372" s="15" t="inlineStr">
        <is>
          <t>「不利」「対象ルールなし」は独特の言い回し</t>
        </is>
      </c>
      <c r="J372" s="6" t="n"/>
      <c r="K372" s="14" t="n"/>
      <c r="L372" s="6" t="n"/>
    </row>
    <row r="373">
      <c r="A373" s="16" t="n">
        <v>372</v>
      </c>
      <c r="B373" s="16" t="inlineStr">
        <is>
          <t>室長</t>
        </is>
      </c>
      <c r="C373" s="5" t="inlineStr">
        <is>
          <t>B-5. 自動割振ルール</t>
        </is>
      </c>
      <c r="D373" s="16" t="inlineStr">
        <is>
          <t>全教室</t>
        </is>
      </c>
      <c r="E373" s="5" t="inlineStr">
        <is>
          <t>対象ルールなし</t>
        </is>
      </c>
      <c r="F373" s="5" t="inlineStr">
        <is>
          <t>自動割振の候補スコア内訳</t>
        </is>
      </c>
      <c r="G373" s="5" t="inlineStr">
        <is>
          <t>ScheduleBoardScreen.tsx / 7021–7137</t>
        </is>
      </c>
      <c r="H373" s="16" t="inlineStr">
        <is>
          <t xml:space="preserve">590–612 / </t>
        </is>
      </c>
      <c r="I373" s="15" t="inlineStr">
        <is>
          <t>「不利」「対象ルールなし」は独特の言い回し</t>
        </is>
      </c>
      <c r="J373" s="6" t="n"/>
      <c r="K373" s="14" t="n"/>
      <c r="L373" s="6" t="n"/>
    </row>
    <row r="374">
      <c r="A374" s="16" t="n">
        <v>373</v>
      </c>
      <c r="B374" s="16" t="inlineStr">
        <is>
          <t>室長</t>
        </is>
      </c>
      <c r="C374" s="5" t="inlineStr">
        <is>
          <t>B-5. 自動割振ルール</t>
        </is>
      </c>
      <c r="D374" s="16" t="inlineStr">
        <is>
          <t>全教室</t>
        </is>
      </c>
      <c r="E374" s="5" t="inlineStr">
        <is>
          <t>満たす</t>
        </is>
      </c>
      <c r="F374" s="5" t="inlineStr">
        <is>
          <t>自動割振の候補スコア内訳</t>
        </is>
      </c>
      <c r="G374" s="5" t="inlineStr">
        <is>
          <t>ScheduleBoardScreen.tsx / 7021–7137</t>
        </is>
      </c>
      <c r="H374" s="16" t="inlineStr">
        <is>
          <t xml:space="preserve">590–612 / </t>
        </is>
      </c>
      <c r="I374" s="15" t="inlineStr">
        <is>
          <t>「不利」「対象ルールなし」は独特の言い回し</t>
        </is>
      </c>
      <c r="J374" s="6" t="n"/>
      <c r="K374" s="14" t="n"/>
      <c r="L374" s="6" t="n"/>
    </row>
    <row r="375">
      <c r="A375" s="16" t="n">
        <v>374</v>
      </c>
      <c r="B375" s="16" t="inlineStr">
        <is>
          <t>室長</t>
        </is>
      </c>
      <c r="C375" s="5" t="inlineStr">
        <is>
          <t>B-5. 自動割振ルール</t>
        </is>
      </c>
      <c r="D375" s="16" t="inlineStr">
        <is>
          <t>全教室</t>
        </is>
      </c>
      <c r="E375" s="5" t="inlineStr">
        <is>
          <t>隣接コマに同一科目があり不利</t>
        </is>
      </c>
      <c r="F375" s="5" t="inlineStr">
        <is>
          <t>自動割振の候補スコア内訳</t>
        </is>
      </c>
      <c r="G375" s="5" t="inlineStr">
        <is>
          <t>ScheduleBoardScreen.tsx / 7021–7137</t>
        </is>
      </c>
      <c r="H375" s="16" t="inlineStr">
        <is>
          <t xml:space="preserve">590–612 / </t>
        </is>
      </c>
      <c r="I375" s="15" t="inlineStr">
        <is>
          <t>「不利」「対象ルールなし」は独特の言い回し</t>
        </is>
      </c>
      <c r="J375" s="6" t="n"/>
      <c r="K375" s="14" t="n"/>
      <c r="L375" s="6" t="n"/>
    </row>
    <row r="376">
      <c r="A376" s="16" t="n">
        <v>375</v>
      </c>
      <c r="B376" s="16" t="inlineStr">
        <is>
          <t>室長</t>
        </is>
      </c>
      <c r="C376" s="5" t="inlineStr">
        <is>
          <t>B-5. 自動割振ルール</t>
        </is>
      </c>
      <c r="D376" s="16" t="inlineStr">
        <is>
          <t>全教室</t>
        </is>
      </c>
      <c r="E376" s="5" t="inlineStr">
        <is>
          <t>ルール未設定のため遅い時限を優先</t>
        </is>
      </c>
      <c r="F376" s="5" t="inlineStr">
        <is>
          <t>自動割振の候補スコア内訳</t>
        </is>
      </c>
      <c r="G376" s="5" t="inlineStr">
        <is>
          <t>ScheduleBoardScreen.tsx / 7021–7137</t>
        </is>
      </c>
      <c r="H376" s="16" t="inlineStr">
        <is>
          <t xml:space="preserve">590–612 / </t>
        </is>
      </c>
      <c r="I376" s="15" t="inlineStr">
        <is>
          <t>「不利」「対象ルールなし」は独特の言い回し</t>
        </is>
      </c>
      <c r="J376" s="6" t="n"/>
      <c r="K376" s="14" t="n"/>
      <c r="L376" s="6" t="n"/>
    </row>
    <row r="377">
      <c r="A377" s="16" t="n">
        <v>376</v>
      </c>
      <c r="B377" s="16" t="inlineStr">
        <is>
          <t>室長</t>
        </is>
      </c>
      <c r="C377" s="5" t="inlineStr">
        <is>
          <t>B-5. 自動割振ルール</t>
        </is>
      </c>
      <c r="D377" s="16" t="inlineStr">
        <is>
          <t>全教室</t>
        </is>
      </c>
      <c r="E377" s="5" t="inlineStr">
        <is>
          <t>相性制約で不利</t>
        </is>
      </c>
      <c r="F377" s="5" t="inlineStr">
        <is>
          <t>自動割振の候補スコア内訳</t>
        </is>
      </c>
      <c r="G377" s="5" t="inlineStr">
        <is>
          <t>ScheduleBoardScreen.tsx / 7021–7137</t>
        </is>
      </c>
      <c r="H377" s="16" t="inlineStr">
        <is>
          <t xml:space="preserve">590–612 / </t>
        </is>
      </c>
      <c r="I377" s="15" t="inlineStr">
        <is>
          <t>「不利」「対象ルールなし」は独特の言い回し</t>
        </is>
      </c>
      <c r="J377" s="6" t="n"/>
      <c r="K377" s="14" t="n"/>
      <c r="L377" s="6" t="n"/>
    </row>
    <row r="378">
      <c r="A378" s="16" t="n">
        <v>377</v>
      </c>
      <c r="B378" s="16" t="inlineStr">
        <is>
          <t>室長</t>
        </is>
      </c>
      <c r="C378" s="5" t="inlineStr">
        <is>
          <t>B-5. 自動割振ルール</t>
        </is>
      </c>
      <c r="D378" s="16" t="inlineStr">
        <is>
          <t>全教室</t>
        </is>
      </c>
      <c r="E378" s="5" t="inlineStr">
        <is>
          <t>通常担当ではない</t>
        </is>
      </c>
      <c r="F378" s="5" t="inlineStr">
        <is>
          <t>自動割振の候補スコア内訳</t>
        </is>
      </c>
      <c r="G378" s="5" t="inlineStr">
        <is>
          <t>ScheduleBoardScreen.tsx / 7021–7137</t>
        </is>
      </c>
      <c r="H378" s="16" t="inlineStr">
        <is>
          <t xml:space="preserve">590–612 / </t>
        </is>
      </c>
      <c r="I378" s="15" t="inlineStr">
        <is>
          <t>「不利」「対象ルールなし」は独特の言い回し</t>
        </is>
      </c>
      <c r="J378" s="6" t="n"/>
      <c r="K378" s="14" t="n"/>
      <c r="L378" s="6" t="n"/>
    </row>
    <row r="379">
      <c r="A379" s="12" t="n">
        <v>378</v>
      </c>
      <c r="B379" s="12" t="inlineStr">
        <is>
          <t>室長</t>
        </is>
      </c>
      <c r="C379" s="13" t="inlineStr">
        <is>
          <t>B-6. バックアップ/復元/初期設定</t>
        </is>
      </c>
      <c r="D379" s="12" t="inlineStr">
        <is>
          <t>全教室</t>
        </is>
      </c>
      <c r="E379" s="13" t="inlineStr">
        <is>
          <t>データ保全と運用開始準備</t>
        </is>
      </c>
      <c r="F379" s="13" t="inlineStr">
        <is>
          <t>画面の見出し</t>
        </is>
      </c>
      <c r="G379" s="13" t="inlineStr">
        <is>
          <t>BackupRestoreScreen.tsx</t>
        </is>
      </c>
      <c r="H379" s="12" t="inlineStr">
        <is>
          <t>268–269</t>
        </is>
      </c>
      <c r="I379" s="15" t="inlineStr">
        <is>
          <t>説明が開発者目線</t>
        </is>
      </c>
      <c r="J379" s="6" t="n"/>
      <c r="K379" s="14" t="n"/>
      <c r="L379" s="6" t="n"/>
    </row>
    <row r="380">
      <c r="A380" s="12" t="n">
        <v>379</v>
      </c>
      <c r="B380" s="12" t="inlineStr">
        <is>
          <t>室長</t>
        </is>
      </c>
      <c r="C380" s="13" t="inlineStr">
        <is>
          <t>B-6. バックアップ/復元/初期設定</t>
        </is>
      </c>
      <c r="D380" s="12" t="inlineStr">
        <is>
          <t>全教室</t>
        </is>
      </c>
      <c r="E380" s="13" t="inlineStr">
        <is>
          <t>バックアップと復元に加えて、初期設定フローと運用中の Excel 管理ツールを分けて配置しています。開始準備と日…</t>
        </is>
      </c>
      <c r="F380" s="13" t="inlineStr">
        <is>
          <t>画面の見出し（同じ画面・同じダイアログの続き）</t>
        </is>
      </c>
      <c r="G380" s="13" t="inlineStr">
        <is>
          <t>BackupRestoreScreen.tsx</t>
        </is>
      </c>
      <c r="H380" s="12" t="inlineStr">
        <is>
          <t>268–269</t>
        </is>
      </c>
      <c r="I380" s="15" t="inlineStr">
        <is>
          <t>説明が開発者目線</t>
        </is>
      </c>
      <c r="J380" s="6" t="n"/>
      <c r="K380" s="14" t="n"/>
      <c r="L380" s="6" t="n"/>
    </row>
    <row r="381">
      <c r="A381" s="12" t="n">
        <v>380</v>
      </c>
      <c r="B381" s="12" t="inlineStr">
        <is>
          <t>室長</t>
        </is>
      </c>
      <c r="C381" s="13" t="inlineStr">
        <is>
          <t>B-6. バックアップ/復元/初期設定</t>
        </is>
      </c>
      <c r="D381" s="12" t="inlineStr">
        <is>
          <t>全教室</t>
        </is>
      </c>
      <c r="E381" s="13" t="inlineStr">
        <is>
          <t>現在の画面状態と各種データを JSON で書き出します。</t>
        </is>
      </c>
      <c r="F381" s="13" t="inlineStr">
        <is>
          <t>手動バックアップ</t>
        </is>
      </c>
      <c r="G381" s="13" t="inlineStr">
        <is>
          <t>BackupRestoreScreen.tsx</t>
        </is>
      </c>
      <c r="H381" s="12" t="inlineStr">
        <is>
          <t>277</t>
        </is>
      </c>
      <c r="I381" s="15" t="inlineStr">
        <is>
          <t>「JSON」</t>
        </is>
      </c>
      <c r="J381" s="6" t="n"/>
      <c r="K381" s="14" t="n"/>
      <c r="L381" s="6" t="n"/>
    </row>
    <row r="382">
      <c r="A382" s="12" t="n">
        <v>381</v>
      </c>
      <c r="B382" s="12" t="inlineStr">
        <is>
          <t>室長</t>
        </is>
      </c>
      <c r="C382" s="13" t="inlineStr">
        <is>
          <t>B-6. バックアップ/復元/初期設定</t>
        </is>
      </c>
      <c r="D382" s="12" t="inlineStr">
        <is>
          <t>全教室</t>
        </is>
      </c>
      <c r="E382" s="13" t="inlineStr">
        <is>
          <t>書き出した JSON を読み込み、現在の状態へ復元します。</t>
        </is>
      </c>
      <c r="F382" s="13" t="inlineStr">
        <is>
          <t>同上</t>
        </is>
      </c>
      <c r="G382" s="13" t="inlineStr">
        <is>
          <t>BackupRestoreScreen.tsx</t>
        </is>
      </c>
      <c r="H382" s="12" t="inlineStr">
        <is>
          <t>287</t>
        </is>
      </c>
      <c r="I382" s="15" t="inlineStr">
        <is>
          <t>要確認</t>
        </is>
      </c>
      <c r="J382" s="6" t="n"/>
      <c r="K382" s="14" t="n"/>
      <c r="L382" s="6" t="n"/>
    </row>
    <row r="383">
      <c r="A383" s="12" t="n">
        <v>382</v>
      </c>
      <c r="B383" s="12" t="inlineStr">
        <is>
          <t>室長</t>
        </is>
      </c>
      <c r="C383" s="13" t="inlineStr">
        <is>
          <t>B-6. バックアップ/復元/初期設定</t>
        </is>
      </c>
      <c r="D383" s="12" t="inlineStr">
        <is>
          <t>全教室</t>
        </is>
      </c>
      <c r="E383" s="13" t="inlineStr">
        <is>
          <t>まず「バックアップ時点を取得」を押してください</t>
        </is>
      </c>
      <c r="F383" s="13" t="inlineStr">
        <is>
          <t>選択肢が空のとき</t>
        </is>
      </c>
      <c r="G383" s="13" t="inlineStr">
        <is>
          <t>BackupRestoreScreen.tsx</t>
        </is>
      </c>
      <c r="H383" s="12" t="inlineStr">
        <is>
          <t>314</t>
        </is>
      </c>
      <c r="I383" s="13" t="inlineStr"/>
      <c r="J383" s="6" t="n"/>
      <c r="K383" s="14" t="n"/>
      <c r="L383" s="6" t="n"/>
    </row>
    <row r="384">
      <c r="A384" s="12" t="n">
        <v>383</v>
      </c>
      <c r="B384" s="12" t="inlineStr">
        <is>
          <t>室長</t>
        </is>
      </c>
      <c r="C384" s="13" t="inlineStr">
        <is>
          <t>B-6. バックアップ/復元/初期設定</t>
        </is>
      </c>
      <c r="D384" s="12" t="inlineStr">
        <is>
          <t>全教室</t>
        </is>
      </c>
      <c r="E384" s="13" t="inlineStr">
        <is>
          <t>運用開始前に、管理データの初期取り込みと教室設定をここで完了します。</t>
        </is>
      </c>
      <c r="F384" s="13" t="inlineStr">
        <is>
          <t>初期設定フロー</t>
        </is>
      </c>
      <c r="G384" s="13" t="inlineStr">
        <is>
          <t>BackupRestoreScreen.tsx</t>
        </is>
      </c>
      <c r="H384" s="12" t="inlineStr">
        <is>
          <t>378</t>
        </is>
      </c>
      <c r="I384" s="13" t="inlineStr"/>
      <c r="J384" s="6" t="n"/>
      <c r="K384" s="14" t="n"/>
      <c r="L384" s="6" t="n"/>
    </row>
    <row r="385">
      <c r="A385" s="12" t="n">
        <v>384</v>
      </c>
      <c r="B385" s="12" t="inlineStr">
        <is>
          <t>室長</t>
        </is>
      </c>
      <c r="C385" s="13" t="inlineStr">
        <is>
          <t>B-6. バックアップ/復元/初期設定</t>
        </is>
      </c>
      <c r="D385" s="12" t="inlineStr">
        <is>
          <t>全教室</t>
        </is>
      </c>
      <c r="E385" s="13" t="inlineStr">
        <is>
          <t>運用開始前に使う全体取り込みです。管理データを読み直し、コマ表作成の元データを確定します。</t>
        </is>
      </c>
      <c r="F385" s="13" t="inlineStr">
        <is>
          <t>1. 初期取り込み</t>
        </is>
      </c>
      <c r="G385" s="13" t="inlineStr">
        <is>
          <t>BackupRestoreScreen.tsx</t>
        </is>
      </c>
      <c r="H385" s="12" t="inlineStr">
        <is>
          <t>385</t>
        </is>
      </c>
      <c r="I385" s="13" t="inlineStr"/>
      <c r="J385" s="6" t="n"/>
      <c r="K385" s="14" t="n"/>
      <c r="L385" s="6" t="n"/>
    </row>
    <row r="386">
      <c r="A386" s="12" t="n">
        <v>385</v>
      </c>
      <c r="B386" s="12" t="inlineStr">
        <is>
          <t>室長</t>
        </is>
      </c>
      <c r="C386" s="13" t="inlineStr">
        <is>
          <t>B-6. バックアップ/復元/初期設定</t>
        </is>
      </c>
      <c r="D386" s="12" t="inlineStr">
        <is>
          <t>全教室</t>
        </is>
      </c>
      <c r="E386" s="13" t="inlineStr">
        <is>
          <t>机数、休校曜日を確認して、盤面作成の基準を整えます。</t>
        </is>
      </c>
      <c r="F386" s="13" t="inlineStr">
        <is>
          <t>2. 教室運用確認</t>
        </is>
      </c>
      <c r="G386" s="13" t="inlineStr">
        <is>
          <t>BackupRestoreScreen.tsx</t>
        </is>
      </c>
      <c r="H386" s="12" t="inlineStr">
        <is>
          <t>396</t>
        </is>
      </c>
      <c r="I386" s="13" t="inlineStr"/>
      <c r="J386" s="6" t="n"/>
      <c r="K386" s="14" t="n"/>
      <c r="L386" s="6" t="n"/>
    </row>
    <row r="387">
      <c r="A387" s="12" t="n">
        <v>386</v>
      </c>
      <c r="B387" s="12" t="inlineStr">
        <is>
          <t>室長</t>
        </is>
      </c>
      <c r="C387" s="13" t="inlineStr">
        <is>
          <t>B-6. バックアップ/復元/初期設定</t>
        </is>
      </c>
      <c r="D387" s="12" t="inlineStr">
        <is>
          <t>全教室</t>
        </is>
      </c>
      <c r="E387" s="13" t="inlineStr">
        <is>
          <t>運用開始時点で残っている未消化振替・未消化講習の件数を生徒ごとに登録します。</t>
        </is>
      </c>
      <c r="F387" s="13" t="inlineStr">
        <is>
          <t>3. 開始時点ストック</t>
        </is>
      </c>
      <c r="G387" s="13" t="inlineStr">
        <is>
          <t>BackupRestoreScreen.tsx</t>
        </is>
      </c>
      <c r="H387" s="12" t="inlineStr">
        <is>
          <t>422</t>
        </is>
      </c>
      <c r="I387" s="13" t="inlineStr"/>
      <c r="J387" s="6" t="n"/>
      <c r="K387" s="14" t="n"/>
      <c r="L387" s="6" t="n"/>
    </row>
    <row r="388">
      <c r="A388" s="12" t="n">
        <v>387</v>
      </c>
      <c r="B388" s="12" t="inlineStr">
        <is>
          <t>室長</t>
        </is>
      </c>
      <c r="C388" s="13" t="inlineStr">
        <is>
          <t>B-6. バックアップ/復元/初期設定</t>
        </is>
      </c>
      <c r="D388" s="12" t="inlineStr">
        <is>
          <t>全教室</t>
        </is>
      </c>
      <c r="E388" s="13" t="inlineStr">
        <is>
          <t>初期設定後の更新で使う管理データ差分取り込みと、関連 Excel ツールをここにまとめています。</t>
        </is>
      </c>
      <c r="F388" s="13" t="inlineStr">
        <is>
          <t>運用中のExcel管理</t>
        </is>
      </c>
      <c r="G388" s="13" t="inlineStr">
        <is>
          <t>BackupRestoreScreen.tsx</t>
        </is>
      </c>
      <c r="H388" s="12" t="inlineStr">
        <is>
          <t>506</t>
        </is>
      </c>
      <c r="I388" s="13" t="inlineStr"/>
      <c r="J388" s="6" t="n"/>
      <c r="K388" s="14" t="n"/>
      <c r="L388" s="6" t="n"/>
    </row>
    <row r="389">
      <c r="A389" s="12" t="n">
        <v>388</v>
      </c>
      <c r="B389" s="12" t="inlineStr">
        <is>
          <t>室長</t>
        </is>
      </c>
      <c r="C389" s="13" t="inlineStr">
        <is>
          <t>B-6. バックアップ/復元/初期設定</t>
        </is>
      </c>
      <c r="D389" s="12" t="inlineStr">
        <is>
          <t>全教室</t>
        </is>
      </c>
      <c r="E389" s="13" t="inlineStr">
        <is>
          <t>現データ出力の ID 列を残したまま再取込すると、特別講習・ルール・盤面・ストックを保持したまま差分更新できます。</t>
        </is>
      </c>
      <c r="F389" s="13" t="inlineStr">
        <is>
          <t>差分取り込み</t>
        </is>
      </c>
      <c r="G389" s="13" t="inlineStr">
        <is>
          <t>BackupRestoreScreen.tsx</t>
        </is>
      </c>
      <c r="H389" s="12" t="inlineStr">
        <is>
          <t>513</t>
        </is>
      </c>
      <c r="I389" s="13" t="inlineStr"/>
      <c r="J389" s="6" t="n"/>
      <c r="K389" s="14" t="n"/>
      <c r="L389" s="6" t="n"/>
    </row>
    <row r="390">
      <c r="A390" s="12" t="n">
        <v>389</v>
      </c>
      <c r="B390" s="12" t="inlineStr">
        <is>
          <t>室長</t>
        </is>
      </c>
      <c r="C390" s="13" t="inlineStr">
        <is>
          <t>B-6. バックアップ/復元/初期設定</t>
        </is>
      </c>
      <c r="D390" s="12" t="inlineStr">
        <is>
          <t>全教室</t>
        </is>
      </c>
      <c r="E390" s="13" t="inlineStr">
        <is>
          <t>特別講習データと自動割振ルールの Excel 管理もこの画面へ集約しています。</t>
        </is>
      </c>
      <c r="F390" s="13" t="inlineStr">
        <is>
          <t>Excel管理</t>
        </is>
      </c>
      <c r="G390" s="13" t="inlineStr">
        <is>
          <t>BackupRestoreScreen.tsx</t>
        </is>
      </c>
      <c r="H390" s="12" t="inlineStr">
        <is>
          <t>524</t>
        </is>
      </c>
      <c r="I390" s="15" t="inlineStr">
        <is>
          <t>開発者目線</t>
        </is>
      </c>
      <c r="J390" s="6" t="n"/>
      <c r="K390" s="14" t="n"/>
      <c r="L390" s="6" t="n"/>
    </row>
    <row r="391">
      <c r="A391" s="12" t="n">
        <v>390</v>
      </c>
      <c r="B391" s="12" t="inlineStr">
        <is>
          <t>室長</t>
        </is>
      </c>
      <c r="C391" s="13" t="inlineStr">
        <is>
          <t>B-6. バックアップ/復元/初期設定</t>
        </is>
      </c>
      <c r="D391" s="12" t="inlineStr">
        <is>
          <t>全教室</t>
        </is>
      </c>
      <c r="E391" s="13" t="inlineStr">
        <is>
          <t>まだ保存されていません。</t>
        </is>
      </c>
      <c r="F391" s="13" t="inlineStr">
        <is>
          <t>最終保存時刻の欄</t>
        </is>
      </c>
      <c r="G391" s="13" t="inlineStr">
        <is>
          <t>BackupRestoreScreen.tsx</t>
        </is>
      </c>
      <c r="H391" s="12" t="inlineStr">
        <is>
          <t>73</t>
        </is>
      </c>
      <c r="I391" s="13" t="inlineStr"/>
      <c r="J391" s="6" t="n"/>
      <c r="K391" s="14" t="n"/>
      <c r="L391" s="6" t="n"/>
    </row>
    <row r="392">
      <c r="A392" s="12" t="n">
        <v>391</v>
      </c>
      <c r="B392" s="12" t="inlineStr">
        <is>
          <t>室長</t>
        </is>
      </c>
      <c r="C392" s="13" t="inlineStr">
        <is>
          <t>B-6. バックアップ/復元/初期設定</t>
        </is>
      </c>
      <c r="D392" s="12" t="inlineStr">
        <is>
          <t>検証用教室・staging のみ</t>
        </is>
      </c>
      <c r="E392" s="13" t="inlineStr">
        <is>
          <t>サーバーバックアップから復元(直近3日)</t>
        </is>
      </c>
      <c r="F392" s="13" t="inlineStr">
        <is>
          <t>自教室の復元パネル</t>
        </is>
      </c>
      <c r="G392" s="13" t="inlineStr">
        <is>
          <t>BackupRestoreScreen.tsx</t>
        </is>
      </c>
      <c r="H392" s="12" t="inlineStr">
        <is>
          <t>296–297</t>
        </is>
      </c>
      <c r="I392" s="15" t="inlineStr">
        <is>
          <t>「間引き」</t>
        </is>
      </c>
      <c r="J392" s="6" t="n"/>
      <c r="K392" s="14" t="n"/>
      <c r="L392" s="6" t="n"/>
    </row>
    <row r="393">
      <c r="A393" s="12" t="n">
        <v>392</v>
      </c>
      <c r="B393" s="12" t="inlineStr">
        <is>
          <t>室長</t>
        </is>
      </c>
      <c r="C393" s="13" t="inlineStr">
        <is>
          <t>B-6. バックアップ/復元/初期設定</t>
        </is>
      </c>
      <c r="D393" s="12" t="inlineStr">
        <is>
          <t>検証用教室・staging のみ</t>
        </is>
      </c>
      <c r="E393" s="13" t="inlineStr">
        <is>
          <t>サーバーが自動で取っているバックアップ(直近24時間は15分毎、それ以前は間引き)から時点を選び、いま開いて…</t>
        </is>
      </c>
      <c r="F393" s="13" t="inlineStr">
        <is>
          <t>自教室の復元パネル（同じ画面・同じダイアログの続き）</t>
        </is>
      </c>
      <c r="G393" s="13" t="inlineStr">
        <is>
          <t>BackupRestoreScreen.tsx</t>
        </is>
      </c>
      <c r="H393" s="12" t="inlineStr">
        <is>
          <t>296–297</t>
        </is>
      </c>
      <c r="I393" s="15" t="inlineStr">
        <is>
          <t>「間引き」</t>
        </is>
      </c>
      <c r="J393" s="6" t="n"/>
      <c r="K393" s="14" t="n"/>
      <c r="L393" s="6" t="n"/>
    </row>
    <row r="394">
      <c r="A394" s="12" t="n">
        <v>393</v>
      </c>
      <c r="B394" s="12" t="inlineStr">
        <is>
          <t>室長</t>
        </is>
      </c>
      <c r="C394" s="13" t="inlineStr">
        <is>
          <t>B-6. バックアップ/復元/初期設定</t>
        </is>
      </c>
      <c r="D394" s="12" t="inlineStr">
        <is>
          <t>検証用教室・staging のみ</t>
        </is>
      </c>
      <c r="E394" s="13" t="inlineStr">
        <is>
          <t>「◯◯」を ◯◯ の状態に戻します。</t>
        </is>
      </c>
      <c r="F394" s="13" t="inlineStr">
        <is>
          <t>復元の確認モーダル</t>
        </is>
      </c>
      <c r="G394" s="13" t="inlineStr">
        <is>
          <t>managerSelfRestore.ts</t>
        </is>
      </c>
      <c r="H394" s="12" t="inlineStr">
        <is>
          <t>96–147</t>
        </is>
      </c>
      <c r="I394" s="13" t="inlineStr"/>
      <c r="J394" s="6" t="n"/>
      <c r="K394" s="14" t="n"/>
      <c r="L394" s="6" t="n"/>
    </row>
    <row r="395">
      <c r="A395" s="12" t="n">
        <v>394</v>
      </c>
      <c r="B395" s="12" t="inlineStr">
        <is>
          <t>室長</t>
        </is>
      </c>
      <c r="C395" s="13" t="inlineStr">
        <is>
          <t>B-6. バックアップ/復元/初期設定</t>
        </is>
      </c>
      <c r="D395" s="12" t="inlineStr">
        <is>
          <t>検証用教室・staging のみ</t>
        </is>
      </c>
      <c r="E395" s="13" t="inlineStr">
        <is>
          <t>バックアップ内の最終保存: ◯◯</t>
        </is>
      </c>
      <c r="F395" s="13" t="inlineStr">
        <is>
          <t>復元の確認モーダル（同じ画面・同じダイアログの続き）</t>
        </is>
      </c>
      <c r="G395" s="13" t="inlineStr">
        <is>
          <t>managerSelfRestore.ts</t>
        </is>
      </c>
      <c r="H395" s="12" t="inlineStr">
        <is>
          <t>96–147</t>
        </is>
      </c>
      <c r="I395" s="13" t="inlineStr"/>
      <c r="J395" s="6" t="n"/>
      <c r="K395" s="14" t="n"/>
      <c r="L395" s="6" t="n"/>
    </row>
    <row r="396">
      <c r="A396" s="12" t="n">
        <v>395</v>
      </c>
      <c r="B396" s="12" t="inlineStr">
        <is>
          <t>室長</t>
        </is>
      </c>
      <c r="C396" s="13" t="inlineStr">
        <is>
          <t>B-6. バックアップ/復元/初期設定</t>
        </is>
      </c>
      <c r="D396" s="12" t="inlineStr">
        <is>
          <t>検証用教室・staging のみ</t>
        </is>
      </c>
      <c r="E396" s="13" t="inlineStr">
        <is>
          <t>バックアップの中身: 生徒◯名 / 講師◯名 …</t>
        </is>
      </c>
      <c r="F396" s="13" t="inlineStr">
        <is>
          <t>復元の確認モーダル（同じ画面・同じダイアログの続き）</t>
        </is>
      </c>
      <c r="G396" s="13" t="inlineStr">
        <is>
          <t>managerSelfRestore.ts</t>
        </is>
      </c>
      <c r="H396" s="12" t="inlineStr">
        <is>
          <t>96–147</t>
        </is>
      </c>
      <c r="I396" s="13" t="inlineStr"/>
      <c r="J396" s="6" t="n"/>
      <c r="K396" s="14" t="n"/>
      <c r="L396" s="6" t="n"/>
    </row>
    <row r="397">
      <c r="A397" s="12" t="n">
        <v>396</v>
      </c>
      <c r="B397" s="12" t="inlineStr">
        <is>
          <t>室長</t>
        </is>
      </c>
      <c r="C397" s="13" t="inlineStr">
        <is>
          <t>B-6. バックアップ/復元/初期設定</t>
        </is>
      </c>
      <c r="D397" s="12" t="inlineStr">
        <is>
          <t>検証用教室・staging のみ</t>
        </is>
      </c>
      <c r="E397" s="13" t="inlineStr">
        <is>
          <t>この人数・コマ数が想定と違う場合は中止してください。</t>
        </is>
      </c>
      <c r="F397" s="13" t="inlineStr">
        <is>
          <t>復元の確認モーダル（同じ画面・同じダイアログの続き）</t>
        </is>
      </c>
      <c r="G397" s="13" t="inlineStr">
        <is>
          <t>managerSelfRestore.ts</t>
        </is>
      </c>
      <c r="H397" s="12" t="inlineStr">
        <is>
          <t>96–147</t>
        </is>
      </c>
      <c r="I397" s="13" t="inlineStr"/>
      <c r="J397" s="6" t="n"/>
      <c r="K397" s="14" t="n"/>
      <c r="L397" s="6" t="n"/>
    </row>
    <row r="398">
      <c r="A398" s="12" t="n">
        <v>397</v>
      </c>
      <c r="B398" s="12" t="inlineStr">
        <is>
          <t>室長</t>
        </is>
      </c>
      <c r="C398" s="13" t="inlineStr">
        <is>
          <t>B-6. バックアップ/復元/初期設定</t>
        </is>
      </c>
      <c r="D398" s="12" t="inlineStr">
        <is>
          <t>検証用教室・staging のみ</t>
        </is>
      </c>
      <c r="E398" s="13" t="inlineStr">
        <is>
          <t>復元しても戻らないもの</t>
        </is>
      </c>
      <c r="F398" s="13" t="inlineStr">
        <is>
          <t>復元の確認モーダル（同じ画面・同じダイアログの続き）</t>
        </is>
      </c>
      <c r="G398" s="13" t="inlineStr">
        <is>
          <t>managerSelfRestore.ts</t>
        </is>
      </c>
      <c r="H398" s="12" t="inlineStr">
        <is>
          <t>96–147</t>
        </is>
      </c>
      <c r="I398" s="13" t="inlineStr"/>
      <c r="J398" s="6" t="n"/>
      <c r="K398" s="14" t="n"/>
      <c r="L398" s="6" t="n"/>
    </row>
    <row r="399">
      <c r="A399" s="12" t="n">
        <v>398</v>
      </c>
      <c r="B399" s="12" t="inlineStr">
        <is>
          <t>室長</t>
        </is>
      </c>
      <c r="C399" s="13" t="inlineStr">
        <is>
          <t>B-6. バックアップ/復元/初期設定</t>
        </is>
      </c>
      <c r="D399" s="12" t="inlineStr">
        <is>
          <t>検証用教室・staging のみ</t>
        </is>
      </c>
      <c r="E399" s="13" t="inlineStr">
        <is>
          <t>QRで提出された講習の希望(生徒・講師の提出内容)</t>
        </is>
      </c>
      <c r="F399" s="13" t="inlineStr">
        <is>
          <t>復元の確認モーダル（同じ画面・同じダイアログの続き）</t>
        </is>
      </c>
      <c r="G399" s="13" t="inlineStr">
        <is>
          <t>managerSelfRestore.ts</t>
        </is>
      </c>
      <c r="H399" s="12" t="inlineStr">
        <is>
          <t>96–147</t>
        </is>
      </c>
      <c r="I399" s="13" t="inlineStr"/>
      <c r="J399" s="6" t="n"/>
      <c r="K399" s="14" t="n"/>
      <c r="L399" s="6" t="n"/>
    </row>
    <row r="400">
      <c r="A400" s="12" t="n">
        <v>399</v>
      </c>
      <c r="B400" s="12" t="inlineStr">
        <is>
          <t>室長</t>
        </is>
      </c>
      <c r="C400" s="13" t="inlineStr">
        <is>
          <t>B-6. バックアップ/復元/初期設定</t>
        </is>
      </c>
      <c r="D400" s="12" t="inlineStr">
        <is>
          <t>検証用教室・staging のみ</t>
        </is>
      </c>
      <c r="E400" s="13" t="inlineStr">
        <is>
          <t>保護者からの連絡</t>
        </is>
      </c>
      <c r="F400" s="13" t="inlineStr">
        <is>
          <t>復元の確認モーダル（同じ画面・同じダイアログの続き）</t>
        </is>
      </c>
      <c r="G400" s="13" t="inlineStr">
        <is>
          <t>managerSelfRestore.ts</t>
        </is>
      </c>
      <c r="H400" s="12" t="inlineStr">
        <is>
          <t>96–147</t>
        </is>
      </c>
      <c r="I400" s="13" t="inlineStr"/>
      <c r="J400" s="6" t="n"/>
      <c r="K400" s="14" t="n"/>
      <c r="L400" s="6" t="n"/>
    </row>
    <row r="401">
      <c r="A401" s="12" t="n">
        <v>400</v>
      </c>
      <c r="B401" s="12" t="inlineStr">
        <is>
          <t>室長</t>
        </is>
      </c>
      <c r="C401" s="13" t="inlineStr">
        <is>
          <t>B-6. バックアップ/復元/初期設定</t>
        </is>
      </c>
      <c r="D401" s="12" t="inlineStr">
        <is>
          <t>検証用教室・staging のみ</t>
        </is>
      </c>
      <c r="E401" s="13" t="inlineStr">
        <is>
          <t>生徒日程表の「通常授業履歴」に出る記録(出席・休み・振替の履歴)</t>
        </is>
      </c>
      <c r="F401" s="13" t="inlineStr">
        <is>
          <t>復元の確認モーダル（同じ画面・同じダイアログの続き）</t>
        </is>
      </c>
      <c r="G401" s="13" t="inlineStr">
        <is>
          <t>managerSelfRestore.ts</t>
        </is>
      </c>
      <c r="H401" s="12" t="inlineStr">
        <is>
          <t>96–147</t>
        </is>
      </c>
      <c r="I401" s="13" t="inlineStr"/>
      <c r="J401" s="6" t="n"/>
      <c r="K401" s="14" t="n"/>
      <c r="L401" s="6" t="n"/>
    </row>
    <row r="402">
      <c r="A402" s="12" t="n">
        <v>401</v>
      </c>
      <c r="B402" s="12" t="inlineStr">
        <is>
          <t>室長</t>
        </is>
      </c>
      <c r="C402" s="13" t="inlineStr">
        <is>
          <t>B-6. バックアップ/復元/初期設定</t>
        </is>
      </c>
      <c r="D402" s="12" t="inlineStr">
        <is>
          <t>検証用教室・staging のみ</t>
        </is>
      </c>
      <c r="E402" s="13" t="inlineStr">
        <is>
          <t>操作の記録(いつ・誰が・何を消したか)</t>
        </is>
      </c>
      <c r="F402" s="13" t="inlineStr">
        <is>
          <t>復元の確認モーダル（同じ画面・同じダイアログの続き）</t>
        </is>
      </c>
      <c r="G402" s="13" t="inlineStr">
        <is>
          <t>managerSelfRestore.ts</t>
        </is>
      </c>
      <c r="H402" s="12" t="inlineStr">
        <is>
          <t>96–147</t>
        </is>
      </c>
      <c r="I402" s="13" t="inlineStr"/>
      <c r="J402" s="6" t="n"/>
      <c r="K402" s="14" t="n"/>
      <c r="L402" s="6" t="n"/>
    </row>
    <row r="403">
      <c r="A403" s="12" t="n">
        <v>402</v>
      </c>
      <c r="B403" s="12" t="inlineStr">
        <is>
          <t>室長</t>
        </is>
      </c>
      <c r="C403" s="13" t="inlineStr">
        <is>
          <t>B-6. バックアップ/復元/初期設定</t>
        </is>
      </c>
      <c r="D403" s="12" t="inlineStr">
        <is>
          <t>検証用教室・staging のみ</t>
        </is>
      </c>
      <c r="E403" s="13" t="inlineStr">
        <is>
          <t>これらは消えず、巻き戻りもしません(バックアップの時点に戻るのは名簿・盤面・テンプレ・ストックなど教室データだけです)。</t>
        </is>
      </c>
      <c r="F403" s="13" t="inlineStr">
        <is>
          <t>復元の確認モーダル（同じ画面・同じダイアログの続き）</t>
        </is>
      </c>
      <c r="G403" s="13" t="inlineStr">
        <is>
          <t>managerSelfRestore.ts</t>
        </is>
      </c>
      <c r="H403" s="12" t="inlineStr">
        <is>
          <t>96–147</t>
        </is>
      </c>
      <c r="I403" s="13" t="inlineStr"/>
      <c r="J403" s="6" t="n"/>
      <c r="K403" s="14" t="n"/>
      <c r="L403" s="6" t="n"/>
    </row>
    <row r="404">
      <c r="A404" s="12" t="n">
        <v>403</v>
      </c>
      <c r="B404" s="12" t="inlineStr">
        <is>
          <t>室長</t>
        </is>
      </c>
      <c r="C404" s="13" t="inlineStr">
        <is>
          <t>B-6. バックアップ/復元/初期設定</t>
        </is>
      </c>
      <c r="D404" s="12" t="inlineStr">
        <is>
          <t>検証用教室・staging のみ</t>
        </is>
      </c>
      <c r="E404" s="13" t="inlineStr">
        <is>
          <t>いま開いているこの教室だけを戻します。他の教室には影響しません。</t>
        </is>
      </c>
      <c r="F404" s="13" t="inlineStr">
        <is>
          <t>復元の確認モーダル（同じ画面・同じダイアログの続き）</t>
        </is>
      </c>
      <c r="G404" s="13" t="inlineStr">
        <is>
          <t>managerSelfRestore.ts</t>
        </is>
      </c>
      <c r="H404" s="12" t="inlineStr">
        <is>
          <t>96–147</t>
        </is>
      </c>
      <c r="I404" s="13" t="inlineStr"/>
      <c r="J404" s="6" t="n"/>
      <c r="K404" s="14" t="n"/>
      <c r="L404" s="6" t="n"/>
    </row>
    <row r="405">
      <c r="A405" s="12" t="n">
        <v>404</v>
      </c>
      <c r="B405" s="12" t="inlineStr">
        <is>
          <t>室長</t>
        </is>
      </c>
      <c r="C405" s="13" t="inlineStr">
        <is>
          <t>B-6. バックアップ/復元/初期設定</t>
        </is>
      </c>
      <c r="D405" s="12" t="inlineStr">
        <is>
          <t>検証用教室・staging のみ</t>
        </is>
      </c>
      <c r="E405" s="13" t="inlineStr">
        <is>
          <t>まだ保存していない編集は失われます。</t>
        </is>
      </c>
      <c r="F405" s="13" t="inlineStr">
        <is>
          <t>復元の確認モーダル（同じ画面・同じダイアログの続き）</t>
        </is>
      </c>
      <c r="G405" s="13" t="inlineStr">
        <is>
          <t>managerSelfRestore.ts</t>
        </is>
      </c>
      <c r="H405" s="12" t="inlineStr">
        <is>
          <t>96–147</t>
        </is>
      </c>
      <c r="I405" s="13" t="inlineStr"/>
      <c r="J405" s="6" t="n"/>
      <c r="K405" s="14" t="n"/>
      <c r="L405" s="6" t="n"/>
    </row>
    <row r="406">
      <c r="A406" s="12" t="n">
        <v>405</v>
      </c>
      <c r="B406" s="12" t="inlineStr">
        <is>
          <t>室長</t>
        </is>
      </c>
      <c r="C406" s="13" t="inlineStr">
        <is>
          <t>B-6. バックアップ/復元/初期設定</t>
        </is>
      </c>
      <c r="D406" s="12" t="inlineStr">
        <is>
          <t>検証用教室・staging のみ</t>
        </is>
      </c>
      <c r="E406" s="13" t="inlineStr">
        <is>
          <t>読み込むと盤面に切り替わります。内容を確認して「保存」を押すまで確定しません。</t>
        </is>
      </c>
      <c r="F406" s="13" t="inlineStr">
        <is>
          <t>復元の確認モーダル（同じ画面・同じダイアログの続き）</t>
        </is>
      </c>
      <c r="G406" s="13" t="inlineStr">
        <is>
          <t>managerSelfRestore.ts</t>
        </is>
      </c>
      <c r="H406" s="12" t="inlineStr">
        <is>
          <t>96–147</t>
        </is>
      </c>
      <c r="I406" s="13" t="inlineStr"/>
      <c r="J406" s="6" t="n"/>
      <c r="K406" s="14" t="n"/>
      <c r="L406" s="6" t="n"/>
    </row>
    <row r="407">
      <c r="A407" s="12" t="n">
        <v>406</v>
      </c>
      <c r="B407" s="12" t="inlineStr">
        <is>
          <t>室長</t>
        </is>
      </c>
      <c r="C407" s="13" t="inlineStr">
        <is>
          <t>B-6. バックアップ/復元/初期設定</t>
        </is>
      </c>
      <c r="D407" s="12" t="inlineStr">
        <is>
          <t>検証用教室・staging のみ</t>
        </is>
      </c>
      <c r="E407" s="13" t="inlineStr">
        <is>
          <t>保存すると元に戻せません。保存前なら「直前の状態に戻す」で取り消せます。</t>
        </is>
      </c>
      <c r="F407" s="13" t="inlineStr">
        <is>
          <t>復元の確認モーダル（同じ画面・同じダイアログの続き）</t>
        </is>
      </c>
      <c r="G407" s="13" t="inlineStr">
        <is>
          <t>managerSelfRestore.ts</t>
        </is>
      </c>
      <c r="H407" s="12" t="inlineStr">
        <is>
          <t>96–147</t>
        </is>
      </c>
      <c r="I407" s="13" t="inlineStr"/>
      <c r="J407" s="6" t="n"/>
      <c r="K407" s="14" t="n"/>
      <c r="L407" s="6" t="n"/>
    </row>
    <row r="408">
      <c r="A408" s="12" t="n">
        <v>407</v>
      </c>
      <c r="B408" s="12" t="inlineStr">
        <is>
          <t>室長</t>
        </is>
      </c>
      <c r="C408" s="13" t="inlineStr">
        <is>
          <t>B-6. バックアップ/復元/初期設定</t>
        </is>
      </c>
      <c r="D408" s="12" t="inlineStr">
        <is>
          <t>検証用教室・staging のみ</t>
        </is>
      </c>
      <c r="E408" s="13" t="inlineStr">
        <is>
          <t>この時点を読み込む</t>
        </is>
      </c>
      <c r="F408" s="13" t="inlineStr">
        <is>
          <t>復元の確認モーダル（同じ画面・同じダイアログの続き）</t>
        </is>
      </c>
      <c r="G408" s="13" t="inlineStr">
        <is>
          <t>managerSelfRestore.ts</t>
        </is>
      </c>
      <c r="H408" s="12" t="inlineStr">
        <is>
          <t>96–147</t>
        </is>
      </c>
      <c r="I408" s="13" t="inlineStr"/>
      <c r="J408" s="6" t="n"/>
      <c r="K408" s="14" t="n"/>
      <c r="L408" s="6" t="n"/>
    </row>
    <row r="409">
      <c r="A409" s="12" t="n">
        <v>408</v>
      </c>
      <c r="B409" s="12" t="inlineStr">
        <is>
          <t>室長</t>
        </is>
      </c>
      <c r="C409" s="13" t="inlineStr">
        <is>
          <t>B-6. バックアップ/復元/初期設定</t>
        </is>
      </c>
      <c r="D409" s="12" t="inlineStr">
        <is>
          <t>検証用教室・staging のみ</t>
        </is>
      </c>
      <c r="E409" s="13" t="inlineStr">
        <is>
          <t>この教室ではサーバーバックアップからの復元はまだ使えません</t>
        </is>
      </c>
      <c r="F409" s="13" t="inlineStr">
        <is>
          <t>復元のガード</t>
        </is>
      </c>
      <c r="G409" s="13" t="inlineStr">
        <is>
          <t>managerSelfRestore.ts</t>
        </is>
      </c>
      <c r="H409" s="12" t="inlineStr">
        <is>
          <t>62–71</t>
        </is>
      </c>
      <c r="I409" s="15" t="inlineStr">
        <is>
          <t>要確認</t>
        </is>
      </c>
      <c r="J409" s="6" t="n"/>
      <c r="K409" s="14" t="n"/>
      <c r="L409" s="6" t="n"/>
    </row>
    <row r="410">
      <c r="A410" s="12" t="n">
        <v>409</v>
      </c>
      <c r="B410" s="12" t="inlineStr">
        <is>
          <t>室長</t>
        </is>
      </c>
      <c r="C410" s="13" t="inlineStr">
        <is>
          <t>B-6. バックアップ/復元/初期設定</t>
        </is>
      </c>
      <c r="D410" s="12" t="inlineStr">
        <is>
          <t>検証用教室・staging のみ</t>
        </is>
      </c>
      <c r="E410" s="13" t="inlineStr">
        <is>
          <t>いま開いている教室以外は復元できません。</t>
        </is>
      </c>
      <c r="F410" s="13" t="inlineStr">
        <is>
          <t>復元のガード</t>
        </is>
      </c>
      <c r="G410" s="13" t="inlineStr">
        <is>
          <t>managerSelfRestore.ts</t>
        </is>
      </c>
      <c r="H410" s="12" t="inlineStr">
        <is>
          <t>62–71</t>
        </is>
      </c>
      <c r="I410" s="15" t="inlineStr">
        <is>
          <t>要確認</t>
        </is>
      </c>
      <c r="J410" s="6" t="n"/>
      <c r="K410" s="14" t="n"/>
      <c r="L410" s="6" t="n"/>
    </row>
    <row r="411">
      <c r="A411" s="12" t="n">
        <v>410</v>
      </c>
      <c r="B411" s="12" t="inlineStr">
        <is>
          <t>室長</t>
        </is>
      </c>
      <c r="C411" s="13" t="inlineStr">
        <is>
          <t>B-6. バックアップ/復元/初期設定</t>
        </is>
      </c>
      <c r="D411" s="12" t="inlineStr">
        <is>
          <t>検証用教室・staging のみ</t>
        </is>
      </c>
      <c r="E411" s="13" t="inlineStr">
        <is>
          <t>自分の担当教室以外は復元できません。</t>
        </is>
      </c>
      <c r="F411" s="13" t="inlineStr">
        <is>
          <t>復元のガード</t>
        </is>
      </c>
      <c r="G411" s="13" t="inlineStr">
        <is>
          <t>managerSelfRestore.ts</t>
        </is>
      </c>
      <c r="H411" s="12" t="inlineStr">
        <is>
          <t>62–71</t>
        </is>
      </c>
      <c r="I411" s="15" t="inlineStr">
        <is>
          <t>要確認</t>
        </is>
      </c>
      <c r="J411" s="6" t="n"/>
      <c r="K411" s="14" t="n"/>
      <c r="L411" s="6" t="n"/>
    </row>
    <row r="412">
      <c r="A412" s="12" t="n">
        <v>411</v>
      </c>
      <c r="B412" s="12" t="inlineStr">
        <is>
          <t>室長</t>
        </is>
      </c>
      <c r="C412" s="13" t="inlineStr">
        <is>
          <t>B-6. バックアップ/復元/初期設定</t>
        </is>
      </c>
      <c r="D412" s="12" t="inlineStr">
        <is>
          <t>検証用教室・staging のみ</t>
        </is>
      </c>
      <c r="E412" s="13" t="inlineStr">
        <is>
          <t>ログイン状態を確認できませんでした。再ログイン後にもう一度お試しください。</t>
        </is>
      </c>
      <c r="F412" s="13" t="inlineStr">
        <is>
          <t>復元のガード</t>
        </is>
      </c>
      <c r="G412" s="13" t="inlineStr">
        <is>
          <t>managerSelfRestore.ts</t>
        </is>
      </c>
      <c r="H412" s="12" t="inlineStr">
        <is>
          <t>62–71</t>
        </is>
      </c>
      <c r="I412" s="15" t="inlineStr">
        <is>
          <t>要確認</t>
        </is>
      </c>
      <c r="J412" s="6" t="n"/>
      <c r="K412" s="14" t="n"/>
      <c r="L412" s="6" t="n"/>
    </row>
    <row r="413">
      <c r="A413" s="12" t="n">
        <v>412</v>
      </c>
      <c r="B413" s="12" t="inlineStr">
        <is>
          <t>室長</t>
        </is>
      </c>
      <c r="C413" s="13" t="inlineStr">
        <is>
          <t>B-6. バックアップ/復元/初期設定</t>
        </is>
      </c>
      <c r="D413" s="12" t="inlineStr">
        <is>
          <t>検証用教室・staging のみ</t>
        </is>
      </c>
      <c r="E413" s="13" t="inlineStr">
        <is>
          <t>Firebase が無効のため、サーバーバックアップから復元できません</t>
        </is>
      </c>
      <c r="F413" s="13" t="inlineStr">
        <is>
          <t>復元のガード</t>
        </is>
      </c>
      <c r="G413" s="13" t="inlineStr">
        <is>
          <t>managerSelfRestore.ts</t>
        </is>
      </c>
      <c r="H413" s="12" t="inlineStr">
        <is>
          <t>62–71</t>
        </is>
      </c>
      <c r="I413" s="15" t="inlineStr">
        <is>
          <t>要確認</t>
        </is>
      </c>
      <c r="J413" s="6" t="n"/>
      <c r="K413" s="14" t="n"/>
      <c r="L413" s="6" t="n"/>
    </row>
    <row r="414">
      <c r="A414" s="12" t="n">
        <v>413</v>
      </c>
      <c r="B414" s="12" t="inlineStr">
        <is>
          <t>室長</t>
        </is>
      </c>
      <c r="C414" s="13" t="inlineStr">
        <is>
          <t>B-6. バックアップ/復元/初期設定</t>
        </is>
      </c>
      <c r="D414" s="12" t="inlineStr">
        <is>
          <t>検証用教室・staging のみ</t>
        </is>
      </c>
      <c r="E414" s="13" t="inlineStr">
        <is>
          <t>バックアップを取得しました。確認画面の内容を読んでから実行してください。</t>
        </is>
      </c>
      <c r="F414" s="13" t="inlineStr">
        <is>
          <t>復元の前後</t>
        </is>
      </c>
      <c r="G414" s="13" t="inlineStr">
        <is>
          <t>App.tsx / 5398 / 5442</t>
        </is>
      </c>
      <c r="H414" s="12" t="inlineStr">
        <is>
          <t xml:space="preserve">5388 /  / </t>
        </is>
      </c>
      <c r="I414" s="13" t="inlineStr"/>
      <c r="J414" s="6" t="n"/>
      <c r="K414" s="14" t="n"/>
      <c r="L414" s="6" t="n"/>
    </row>
    <row r="415">
      <c r="A415" s="12" t="n">
        <v>414</v>
      </c>
      <c r="B415" s="12" t="inlineStr">
        <is>
          <t>室長</t>
        </is>
      </c>
      <c r="C415" s="13" t="inlineStr">
        <is>
          <t>B-6. バックアップ/復元/初期設定</t>
        </is>
      </c>
      <c r="D415" s="12" t="inlineStr">
        <is>
          <t>検証用教室・staging のみ</t>
        </is>
      </c>
      <c r="E415" s="13" t="inlineStr">
        <is>
          <t>バックアップからの復元をやめました。データは変わっていません。</t>
        </is>
      </c>
      <c r="F415" s="13" t="inlineStr">
        <is>
          <t>復元の前後</t>
        </is>
      </c>
      <c r="G415" s="13" t="inlineStr">
        <is>
          <t>App.tsx / 5398 / 5442</t>
        </is>
      </c>
      <c r="H415" s="12" t="inlineStr">
        <is>
          <t xml:space="preserve">5388 /  / </t>
        </is>
      </c>
      <c r="I415" s="13" t="inlineStr"/>
      <c r="J415" s="6" t="n"/>
      <c r="K415" s="14" t="n"/>
      <c r="L415" s="6" t="n"/>
    </row>
    <row r="416">
      <c r="A416" s="12" t="n">
        <v>415</v>
      </c>
      <c r="B416" s="12" t="inlineStr">
        <is>
          <t>室長</t>
        </is>
      </c>
      <c r="C416" s="13" t="inlineStr">
        <is>
          <t>B-6. バックアップ/復元/初期設定</t>
        </is>
      </c>
      <c r="D416" s="12" t="inlineStr">
        <is>
          <t>検証用教室・staging のみ</t>
        </is>
      </c>
      <c r="E416" s="13" t="inlineStr">
        <is>
          <t>◯◯ の状態を読み込みました。内容を確認して「保存」で確定してください(保存前なら「直前の状態に戻す」で取り消せます)。</t>
        </is>
      </c>
      <c r="F416" s="13" t="inlineStr">
        <is>
          <t>復元の前後</t>
        </is>
      </c>
      <c r="G416" s="13" t="inlineStr">
        <is>
          <t>App.tsx / 5398 / 5442</t>
        </is>
      </c>
      <c r="H416" s="12" t="inlineStr">
        <is>
          <t xml:space="preserve">5388 /  / </t>
        </is>
      </c>
      <c r="I416" s="13" t="inlineStr"/>
      <c r="J416" s="6" t="n"/>
      <c r="K416" s="14" t="n"/>
      <c r="L416" s="6" t="n"/>
    </row>
    <row r="417">
      <c r="A417" s="12" t="n">
        <v>416</v>
      </c>
      <c r="B417" s="12" t="inlineStr">
        <is>
          <t>室長</t>
        </is>
      </c>
      <c r="C417" s="13" t="inlineStr">
        <is>
          <t>B-6. バックアップ/復元/初期設定</t>
        </is>
      </c>
      <c r="D417" s="12" t="inlineStr">
        <is>
          <t>検証用教室・staging のみ</t>
        </is>
      </c>
      <c r="E417" s="13" t="inlineStr">
        <is>
          <t>他教室のバックアップをこの教室に読み込む</t>
        </is>
      </c>
      <c r="F417" s="13" t="inlineStr">
        <is>
          <t>検証用教室でだけ出るパネル</t>
        </is>
      </c>
      <c r="G417" s="13" t="inlineStr">
        <is>
          <t>BackupRestoreScreen.tsx / App.tsx</t>
        </is>
      </c>
      <c r="H417" s="12" t="inlineStr">
        <is>
          <t>332–333 / 5266–5270</t>
        </is>
      </c>
      <c r="I417" s="15" t="inlineStr">
        <is>
          <t>開発用の機能</t>
        </is>
      </c>
      <c r="J417" s="6" t="n"/>
      <c r="K417" s="14" t="n"/>
      <c r="L417" s="6" t="n"/>
    </row>
    <row r="418">
      <c r="A418" s="12" t="n">
        <v>417</v>
      </c>
      <c r="B418" s="12" t="inlineStr">
        <is>
          <t>室長</t>
        </is>
      </c>
      <c r="C418" s="13" t="inlineStr">
        <is>
          <t>B-6. バックアップ/復元/初期設定</t>
        </is>
      </c>
      <c r="D418" s="12" t="inlineStr">
        <is>
          <t>検証用教室・staging のみ</t>
        </is>
      </c>
      <c r="E418" s="13" t="inlineStr">
        <is>
          <t>読み込み元の規模: 生徒◯名 / 講師◯名 / テンプレ◯コマ</t>
        </is>
      </c>
      <c r="F418" s="13" t="inlineStr">
        <is>
          <t>検証用教室でだけ出るパネル（同じ画面・同じダイアログの続き）</t>
        </is>
      </c>
      <c r="G418" s="13" t="inlineStr">
        <is>
          <t>BackupRestoreScreen.tsx / App.tsx</t>
        </is>
      </c>
      <c r="H418" s="12" t="inlineStr">
        <is>
          <t>332–333 / 5266–5270</t>
        </is>
      </c>
      <c r="I418" s="15" t="inlineStr">
        <is>
          <t>開発用の機能</t>
        </is>
      </c>
      <c r="J418" s="6" t="n"/>
      <c r="K418" s="14" t="n"/>
      <c r="L418" s="6" t="n"/>
    </row>
    <row r="419">
      <c r="A419" s="12" t="n">
        <v>418</v>
      </c>
      <c r="B419" s="12" t="inlineStr">
        <is>
          <t>室長</t>
        </is>
      </c>
      <c r="C419" s="13" t="inlineStr">
        <is>
          <t>B-6. バックアップ/復元/初期設定</t>
        </is>
      </c>
      <c r="D419" s="12" t="inlineStr">
        <is>
          <t>検証用教室・staging のみ</t>
        </is>
      </c>
      <c r="E419" s="13" t="inlineStr">
        <is>
          <t>この人数・コマ数が想定と違う場合は、教室や時点の取り違えの可能性があるので中止してください。</t>
        </is>
      </c>
      <c r="F419" s="13" t="inlineStr">
        <is>
          <t>検証用教室でだけ出るパネル（同じ画面・同じダイアログの続き）</t>
        </is>
      </c>
      <c r="G419" s="13" t="inlineStr">
        <is>
          <t>BackupRestoreScreen.tsx / App.tsx</t>
        </is>
      </c>
      <c r="H419" s="12" t="inlineStr">
        <is>
          <t>332–333 / 5266–5270</t>
        </is>
      </c>
      <c r="I419" s="15" t="inlineStr">
        <is>
          <t>開発用の機能</t>
        </is>
      </c>
      <c r="J419" s="6" t="n"/>
      <c r="K419" s="14" t="n"/>
      <c r="L419" s="6" t="n"/>
    </row>
    <row r="420">
      <c r="A420" s="12" t="n">
        <v>419</v>
      </c>
      <c r="B420" s="12" t="inlineStr">
        <is>
          <t>室長</t>
        </is>
      </c>
      <c r="C420" s="13" t="inlineStr">
        <is>
          <t>B-6. バックアップ/復元/初期設定</t>
        </is>
      </c>
      <c r="D420" s="12" t="inlineStr">
        <is>
          <t>検証用教室・staging のみ</t>
        </is>
      </c>
      <c r="E420" s="13" t="inlineStr">
        <is>
          <t>共有用トークン類は自動で外します(コピー元のQRで他教室へ誤送信しないため)。</t>
        </is>
      </c>
      <c r="F420" s="13" t="inlineStr">
        <is>
          <t>検証用教室でだけ出るパネル（同じ画面・同じダイアログの続き）</t>
        </is>
      </c>
      <c r="G420" s="13" t="inlineStr">
        <is>
          <t>BackupRestoreScreen.tsx / App.tsx</t>
        </is>
      </c>
      <c r="H420" s="12" t="inlineStr">
        <is>
          <t>332–333 / 5266–5270</t>
        </is>
      </c>
      <c r="I420" s="15" t="inlineStr">
        <is>
          <t>開発用の機能</t>
        </is>
      </c>
      <c r="J420" s="6" t="n"/>
      <c r="K420" s="14" t="n"/>
      <c r="L420" s="6" t="n"/>
    </row>
    <row r="421">
      <c r="A421" s="16" t="n">
        <v>420</v>
      </c>
      <c r="B421" s="16" t="inlineStr">
        <is>
          <t>室長</t>
        </is>
      </c>
      <c r="C421" s="5" t="inlineStr">
        <is>
          <t>B-7. 生徒日程表・講師日程表（別タブ）</t>
        </is>
      </c>
      <c r="D421" s="16" t="inlineStr">
        <is>
          <t>全教室</t>
        </is>
      </c>
      <c r="E421" s="5" t="inlineStr">
        <is>
          <t>登録された講習期間を表示する</t>
        </is>
      </c>
      <c r="F421" s="5" t="inlineStr">
        <is>
          <t>期間プルダウンのラベル</t>
        </is>
      </c>
      <c r="G421" s="5" t="inlineStr">
        <is>
          <t>scheduleHtml.ts</t>
        </is>
      </c>
      <c r="H421" s="16" t="inlineStr">
        <is>
          <t>2943</t>
        </is>
      </c>
      <c r="I421" s="5" t="inlineStr"/>
      <c r="J421" s="6" t="n"/>
      <c r="K421" s="14" t="n"/>
      <c r="L421" s="6" t="n"/>
    </row>
    <row r="422">
      <c r="A422" s="16" t="n">
        <v>421</v>
      </c>
      <c r="B422" s="16" t="inlineStr">
        <is>
          <t>室長</t>
        </is>
      </c>
      <c r="C422" s="5" t="inlineStr">
        <is>
          <t>B-7. 生徒日程表・講師日程表（別タブ）</t>
        </is>
      </c>
      <c r="D422" s="16" t="inlineStr">
        <is>
          <t>全教室</t>
        </is>
      </c>
      <c r="E422" s="5" t="inlineStr">
        <is>
          <t>選択した期間・生徒/講師の絞り込みを適用し、コマ表(盤面)の最新の出欠・振替などを取り込んで表示し直します。</t>
        </is>
      </c>
      <c r="F422" s="5" t="inlineStr">
        <is>
          <t>「最新表示」のツールチップ</t>
        </is>
      </c>
      <c r="G422" s="5" t="inlineStr">
        <is>
          <t>scheduleHtml.ts</t>
        </is>
      </c>
      <c r="H422" s="16" t="inlineStr">
        <is>
          <t>2969</t>
        </is>
      </c>
      <c r="I422" s="5" t="inlineStr"/>
      <c r="J422" s="6" t="n"/>
      <c r="K422" s="14" t="n"/>
      <c r="L422" s="6" t="n"/>
    </row>
    <row r="423">
      <c r="A423" s="16" t="n">
        <v>422</v>
      </c>
      <c r="B423" s="16" t="inlineStr">
        <is>
          <t>室長</t>
        </is>
      </c>
      <c r="C423" s="5" t="inlineStr">
        <is>
          <t>B-7. 生徒日程表・講師日程表（別タブ）</t>
        </is>
      </c>
      <c r="D423" s="16" t="inlineStr">
        <is>
          <t>検証用教室・staging のみ</t>
        </is>
      </c>
      <c r="E423" s="5" t="inlineStr">
        <is>
          <t>選んだ生徒の出席・休み・振替・未消化を、保存済みの記録から期間指定で一覧します</t>
        </is>
      </c>
      <c r="F423" s="5" t="inlineStr">
        <is>
          <t>「通常授業履歴」ボタン</t>
        </is>
      </c>
      <c r="G423" s="5" t="inlineStr">
        <is>
          <t>scheduleHtml.ts</t>
        </is>
      </c>
      <c r="H423" s="16" t="inlineStr">
        <is>
          <t>2954</t>
        </is>
      </c>
      <c r="I423" s="5" t="inlineStr"/>
      <c r="J423" s="6" t="n"/>
      <c r="K423" s="14" t="n"/>
      <c r="L423" s="6" t="n"/>
    </row>
    <row r="424">
      <c r="A424" s="16" t="n">
        <v>423</v>
      </c>
      <c r="B424" s="16" t="inlineStr">
        <is>
          <t>室長</t>
        </is>
      </c>
      <c r="C424" s="5" t="inlineStr">
        <is>
          <t>B-7. 生徒日程表・講師日程表（別タブ）</t>
        </is>
      </c>
      <c r="D424" s="16" t="inlineStr">
        <is>
          <t>全教室</t>
        </is>
      </c>
      <c r="E424" s="5" t="inlineStr">
        <is>
          <t>日程表の出席不可コマと講習での希望科目数を登録します。</t>
        </is>
      </c>
      <c r="F424" s="5" t="inlineStr">
        <is>
          <t>生徒の登録モーダル</t>
        </is>
      </c>
      <c r="G424" s="5" t="inlineStr">
        <is>
          <t>scheduleHtml.ts</t>
        </is>
      </c>
      <c r="H424" s="16" t="inlineStr">
        <is>
          <t>5820</t>
        </is>
      </c>
      <c r="I424" s="5" t="inlineStr"/>
      <c r="J424" s="6" t="n"/>
      <c r="K424" s="14" t="n"/>
      <c r="L424" s="6" t="n"/>
    </row>
    <row r="425">
      <c r="A425" s="16" t="n">
        <v>424</v>
      </c>
      <c r="B425" s="16" t="inlineStr">
        <is>
          <t>室長</t>
        </is>
      </c>
      <c r="C425" s="5" t="inlineStr">
        <is>
          <t>B-7. 生徒日程表・講師日程表（別タブ）</t>
        </is>
      </c>
      <c r="D425" s="16" t="inlineStr">
        <is>
          <t>全教室</t>
        </is>
      </c>
      <c r="E425" s="5" t="inlineStr">
        <is>
          <t>登録中は編集できません。編集する場合は登録解除して、内容を直してから再度登録してください。</t>
        </is>
      </c>
      <c r="F425" s="5" t="inlineStr">
        <is>
          <t>同上（登録済み）</t>
        </is>
      </c>
      <c r="G425" s="5" t="inlineStr">
        <is>
          <t>scheduleHtml.ts</t>
        </is>
      </c>
      <c r="H425" s="16" t="inlineStr">
        <is>
          <t>5774</t>
        </is>
      </c>
      <c r="I425" s="5" t="inlineStr"/>
      <c r="J425" s="6" t="n"/>
      <c r="K425" s="14" t="n"/>
      <c r="L425" s="6" t="n"/>
    </row>
    <row r="426">
      <c r="A426" s="16" t="n">
        <v>425</v>
      </c>
      <c r="B426" s="16" t="inlineStr">
        <is>
          <t>室長</t>
        </is>
      </c>
      <c r="C426" s="5" t="inlineStr">
        <is>
          <t>B-7. 生徒日程表・講師日程表（別タブ）</t>
        </is>
      </c>
      <c r="D426" s="16" t="inlineStr">
        <is>
          <t>全教室</t>
        </is>
      </c>
      <c r="E426" s="5" t="inlineStr">
        <is>
          <t>登録解除すると、コマ表からこの生徒だけ外します。講師は残ります。</t>
        </is>
      </c>
      <c r="F426" s="5" t="inlineStr">
        <is>
          <t>同上</t>
        </is>
      </c>
      <c r="G426" s="5" t="inlineStr">
        <is>
          <t>scheduleHtml.ts</t>
        </is>
      </c>
      <c r="H426" s="16" t="inlineStr">
        <is>
          <t>5774</t>
        </is>
      </c>
      <c r="I426" s="5" t="inlineStr"/>
      <c r="J426" s="6" t="n"/>
      <c r="K426" s="14" t="n"/>
      <c r="L426" s="6" t="n"/>
    </row>
    <row r="427">
      <c r="A427" s="16" t="n">
        <v>426</v>
      </c>
      <c r="B427" s="16" t="inlineStr">
        <is>
          <t>室長</t>
        </is>
      </c>
      <c r="C427" s="5" t="inlineStr">
        <is>
          <t>B-7. 生徒日程表・講師日程表（別タブ）</t>
        </is>
      </c>
      <c r="D427" s="16" t="inlineStr">
        <is>
          <t>全教室</t>
        </is>
      </c>
      <c r="E427" s="5" t="inlineStr">
        <is>
          <t>登録された予定に従い、コマ表に講師名を追加します。</t>
        </is>
      </c>
      <c r="F427" s="5" t="inlineStr">
        <is>
          <t>講師の登録モーダル</t>
        </is>
      </c>
      <c r="G427" s="5" t="inlineStr">
        <is>
          <t>scheduleHtml.ts</t>
        </is>
      </c>
      <c r="H427" s="16" t="inlineStr">
        <is>
          <t>5838–5839</t>
        </is>
      </c>
      <c r="I427" s="5" t="inlineStr"/>
      <c r="J427" s="6" t="n"/>
      <c r="K427" s="14" t="n"/>
      <c r="L427" s="6" t="n"/>
    </row>
    <row r="428">
      <c r="A428" s="16" t="n">
        <v>427</v>
      </c>
      <c r="B428" s="16" t="inlineStr">
        <is>
          <t>室長</t>
        </is>
      </c>
      <c r="C428" s="5" t="inlineStr">
        <is>
          <t>B-7. 生徒日程表・講師日程表（別タブ）</t>
        </is>
      </c>
      <c r="D428" s="16" t="inlineStr">
        <is>
          <t>全教室</t>
        </is>
      </c>
      <c r="E428" s="5" t="inlineStr">
        <is>
          <t>講師数が多く、机数より多くなる場合はスキップされます。</t>
        </is>
      </c>
      <c r="F428" s="5" t="inlineStr">
        <is>
          <t>講師の登録モーダル（同じ画面・同じダイアログの続き）</t>
        </is>
      </c>
      <c r="G428" s="5" t="inlineStr">
        <is>
          <t>scheduleHtml.ts</t>
        </is>
      </c>
      <c r="H428" s="16" t="inlineStr">
        <is>
          <t>5838–5839</t>
        </is>
      </c>
      <c r="I428" s="5" t="inlineStr"/>
      <c r="J428" s="6" t="n"/>
      <c r="K428" s="14" t="n"/>
      <c r="L428" s="6" t="n"/>
    </row>
    <row r="429">
      <c r="A429" s="16" t="n">
        <v>428</v>
      </c>
      <c r="B429" s="16" t="inlineStr">
        <is>
          <t>室長</t>
        </is>
      </c>
      <c r="C429" s="5" t="inlineStr">
        <is>
          <t>B-7. 生徒日程表・講師日程表（別タブ）</t>
        </is>
      </c>
      <c r="D429" s="16" t="inlineStr">
        <is>
          <t>全教室</t>
        </is>
      </c>
      <c r="E429" s="5" t="inlineStr">
        <is>
          <t>登録解除すると、コマ表からこの講師だけ外します。生徒は残ります。</t>
        </is>
      </c>
      <c r="F429" s="5" t="inlineStr">
        <is>
          <t>同上</t>
        </is>
      </c>
      <c r="G429" s="5" t="inlineStr">
        <is>
          <t>scheduleHtml.ts</t>
        </is>
      </c>
      <c r="H429" s="16" t="inlineStr">
        <is>
          <t>5837</t>
        </is>
      </c>
      <c r="I429" s="5" t="inlineStr"/>
      <c r="J429" s="6" t="n"/>
      <c r="K429" s="14" t="n"/>
      <c r="L429" s="6" t="n"/>
    </row>
    <row r="430">
      <c r="A430" s="16" t="n">
        <v>429</v>
      </c>
      <c r="B430" s="16" t="inlineStr">
        <is>
          <t>室長</t>
        </is>
      </c>
      <c r="C430" s="5" t="inlineStr">
        <is>
          <t>B-7. 生徒日程表・講師日程表（別タブ）</t>
        </is>
      </c>
      <c r="D430" s="16" t="inlineStr">
        <is>
          <t>全教室</t>
        </is>
      </c>
      <c r="E430" s="5" t="inlineStr">
        <is>
          <t>希望科目数が出席可能コマ数を上回っているため登録できません。出席不可コマを見直してください。</t>
        </is>
      </c>
      <c r="F430" s="5" t="inlineStr">
        <is>
          <t>登録エラー</t>
        </is>
      </c>
      <c r="G430" s="5" t="inlineStr">
        <is>
          <t>scheduleHtml.ts</t>
        </is>
      </c>
      <c r="H430" s="16" t="inlineStr">
        <is>
          <t>5883</t>
        </is>
      </c>
      <c r="I430" s="5" t="inlineStr"/>
      <c r="J430" s="6" t="n"/>
      <c r="K430" s="14" t="n"/>
      <c r="L430" s="6" t="n"/>
    </row>
    <row r="431">
      <c r="A431" s="16" t="n">
        <v>430</v>
      </c>
      <c r="B431" s="16" t="inlineStr">
        <is>
          <t>室長</t>
        </is>
      </c>
      <c r="C431" s="5" t="inlineStr">
        <is>
          <t>B-7. 生徒日程表・講師日程表（別タブ）</t>
        </is>
      </c>
      <c r="D431" s="16" t="inlineStr">
        <is>
          <t>全教室</t>
        </is>
      </c>
      <c r="E431" s="5" t="inlineStr">
        <is>
          <t>連絡事項・オプションは入力すると自動保存されます。</t>
        </is>
      </c>
      <c r="F431" s="5" t="inlineStr">
        <is>
          <t>空フォーマット印刷の案内</t>
        </is>
      </c>
      <c r="G431" s="5" t="inlineStr">
        <is>
          <t>scheduleHtml.ts</t>
        </is>
      </c>
      <c r="H431" s="16" t="inlineStr">
        <is>
          <t>6400</t>
        </is>
      </c>
      <c r="I431" s="5" t="inlineStr"/>
      <c r="J431" s="6" t="n"/>
      <c r="K431" s="14" t="n"/>
      <c r="L431" s="6" t="n"/>
    </row>
    <row r="432">
      <c r="A432" s="16" t="n">
        <v>431</v>
      </c>
      <c r="B432" s="16" t="inlineStr">
        <is>
          <t>室長</t>
        </is>
      </c>
      <c r="C432" s="5" t="inlineStr">
        <is>
          <t>B-7. 生徒日程表・講師日程表（別タブ）</t>
        </is>
      </c>
      <c r="D432" s="16" t="inlineStr">
        <is>
          <t>全教室</t>
        </is>
      </c>
      <c r="E432" s="5" t="inlineStr">
        <is>
          <t>表示できる生徒が見つかりません。</t>
        </is>
      </c>
      <c r="F432" s="5" t="inlineStr">
        <is>
          <t>一覧が空</t>
        </is>
      </c>
      <c r="G432" s="5" t="inlineStr">
        <is>
          <t>scheduleHtml.ts / 6509 / 6534</t>
        </is>
      </c>
      <c r="H432" s="16" t="inlineStr">
        <is>
          <t xml:space="preserve">6299 /  / </t>
        </is>
      </c>
      <c r="I432" s="5" t="inlineStr"/>
      <c r="J432" s="6" t="n"/>
      <c r="K432" s="14" t="n"/>
      <c r="L432" s="6" t="n"/>
    </row>
    <row r="433">
      <c r="A433" s="16" t="n">
        <v>432</v>
      </c>
      <c r="B433" s="16" t="inlineStr">
        <is>
          <t>室長</t>
        </is>
      </c>
      <c r="C433" s="5" t="inlineStr">
        <is>
          <t>B-7. 生徒日程表・講師日程表（別タブ）</t>
        </is>
      </c>
      <c r="D433" s="16" t="inlineStr">
        <is>
          <t>全教室</t>
        </is>
      </c>
      <c r="E433" s="5" t="inlineStr">
        <is>
          <t>表示できる講師が見つかりません。</t>
        </is>
      </c>
      <c r="F433" s="5" t="inlineStr">
        <is>
          <t>一覧が空</t>
        </is>
      </c>
      <c r="G433" s="5" t="inlineStr">
        <is>
          <t>scheduleHtml.ts / 6509 / 6534</t>
        </is>
      </c>
      <c r="H433" s="16" t="inlineStr">
        <is>
          <t xml:space="preserve">6299 /  / </t>
        </is>
      </c>
      <c r="I433" s="5" t="inlineStr"/>
      <c r="J433" s="6" t="n"/>
      <c r="K433" s="14" t="n"/>
      <c r="L433" s="6" t="n"/>
    </row>
    <row r="434">
      <c r="A434" s="16" t="n">
        <v>433</v>
      </c>
      <c r="B434" s="16" t="inlineStr">
        <is>
          <t>室長</t>
        </is>
      </c>
      <c r="C434" s="5" t="inlineStr">
        <is>
          <t>B-7. 生徒日程表・講師日程表（別タブ）</t>
        </is>
      </c>
      <c r="D434" s="16" t="inlineStr">
        <is>
          <t>全教室</t>
        </is>
      </c>
      <c r="E434" s="5" t="inlineStr">
        <is>
          <t>表示できるデータが見つかりません。</t>
        </is>
      </c>
      <c r="F434" s="5" t="inlineStr">
        <is>
          <t>一覧が空</t>
        </is>
      </c>
      <c r="G434" s="5" t="inlineStr">
        <is>
          <t>scheduleHtml.ts / 6509 / 6534</t>
        </is>
      </c>
      <c r="H434" s="16" t="inlineStr">
        <is>
          <t xml:space="preserve">6299 /  / </t>
        </is>
      </c>
      <c r="I434" s="5" t="inlineStr"/>
      <c r="J434" s="6" t="n"/>
      <c r="K434" s="14" t="n"/>
      <c r="L434" s="6" t="n"/>
    </row>
    <row r="435">
      <c r="A435" s="16" t="n">
        <v>434</v>
      </c>
      <c r="B435" s="16" t="inlineStr">
        <is>
          <t>室長</t>
        </is>
      </c>
      <c r="C435" s="5" t="inlineStr">
        <is>
          <t>B-7. 生徒日程表・講師日程表（別タブ）</t>
        </is>
      </c>
      <c r="D435" s="16" t="inlineStr">
        <is>
          <t>全教室</t>
        </is>
      </c>
      <c r="E435" s="5" t="inlineStr">
        <is>
          <t>空フォーマットを作成できる生徒が見つかりません。</t>
        </is>
      </c>
      <c r="F435" s="5" t="inlineStr">
        <is>
          <t>空フォーマット印刷</t>
        </is>
      </c>
      <c r="G435" s="5" t="inlineStr">
        <is>
          <t>scheduleHtml.ts</t>
        </is>
      </c>
      <c r="H435" s="16" t="inlineStr">
        <is>
          <t>6390</t>
        </is>
      </c>
      <c r="I435" s="5" t="inlineStr"/>
      <c r="J435" s="6" t="n"/>
      <c r="K435" s="14" t="n"/>
      <c r="L435" s="6" t="n"/>
    </row>
    <row r="436">
      <c r="A436" s="16" t="n">
        <v>435</v>
      </c>
      <c r="B436" s="16" t="inlineStr">
        <is>
          <t>室長</t>
        </is>
      </c>
      <c r="C436" s="5" t="inlineStr">
        <is>
          <t>B-7. 生徒日程表・講師日程表（別タブ）</t>
        </is>
      </c>
      <c r="D436" s="16" t="inlineStr">
        <is>
          <t>全教室</t>
        </is>
      </c>
      <c r="E436" s="5" t="inlineStr">
        <is>
          <t>表示対象の生徒がいません</t>
        </is>
      </c>
      <c r="F436" s="5" t="inlineStr">
        <is>
          <t>講習集計結果</t>
        </is>
      </c>
      <c r="G436" s="5" t="inlineStr">
        <is>
          <t>scheduleHtml.ts / 7217 / 7164</t>
        </is>
      </c>
      <c r="H436" s="16" t="inlineStr">
        <is>
          <t xml:space="preserve">7154 /  / </t>
        </is>
      </c>
      <c r="I436" s="5" t="inlineStr"/>
      <c r="J436" s="6" t="n"/>
      <c r="K436" s="14" t="n"/>
      <c r="L436" s="6" t="n"/>
    </row>
    <row r="437">
      <c r="A437" s="16" t="n">
        <v>436</v>
      </c>
      <c r="B437" s="16" t="inlineStr">
        <is>
          <t>室長</t>
        </is>
      </c>
      <c r="C437" s="5" t="inlineStr">
        <is>
          <t>B-7. 生徒日程表・講師日程表（別タブ）</t>
        </is>
      </c>
      <c r="D437" s="16" t="inlineStr">
        <is>
          <t>全教室</t>
        </is>
      </c>
      <c r="E437" s="5" t="inlineStr">
        <is>
          <t>表示対象の講師がいません</t>
        </is>
      </c>
      <c r="F437" s="5" t="inlineStr">
        <is>
          <t>講習集計結果</t>
        </is>
      </c>
      <c r="G437" s="5" t="inlineStr">
        <is>
          <t>scheduleHtml.ts / 7217 / 7164</t>
        </is>
      </c>
      <c r="H437" s="16" t="inlineStr">
        <is>
          <t xml:space="preserve">7154 /  / </t>
        </is>
      </c>
      <c r="I437" s="5" t="inlineStr"/>
      <c r="J437" s="6" t="n"/>
      <c r="K437" s="14" t="n"/>
      <c r="L437" s="6" t="n"/>
    </row>
    <row r="438">
      <c r="A438" s="16" t="n">
        <v>437</v>
      </c>
      <c r="B438" s="16" t="inlineStr">
        <is>
          <t>室長</t>
        </is>
      </c>
      <c r="C438" s="5" t="inlineStr">
        <is>
          <t>B-7. 生徒日程表・講師日程表（別タブ）</t>
        </is>
      </c>
      <c r="D438" s="16" t="inlineStr">
        <is>
          <t>全教室</t>
        </is>
      </c>
      <c r="E438" s="5" t="inlineStr">
        <is>
          <t>表示期間に講習期間が含まれていません。</t>
        </is>
      </c>
      <c r="F438" s="5" t="inlineStr">
        <is>
          <t>講習集計結果</t>
        </is>
      </c>
      <c r="G438" s="5" t="inlineStr">
        <is>
          <t>scheduleHtml.ts / 7217 / 7164</t>
        </is>
      </c>
      <c r="H438" s="16" t="inlineStr">
        <is>
          <t xml:space="preserve">7154 /  / </t>
        </is>
      </c>
      <c r="I438" s="5" t="inlineStr"/>
      <c r="J438" s="6" t="n"/>
      <c r="K438" s="14" t="n"/>
      <c r="L438" s="6" t="n"/>
    </row>
    <row r="439">
      <c r="A439" s="16" t="n">
        <v>438</v>
      </c>
      <c r="B439" s="16" t="inlineStr">
        <is>
          <t>室長</t>
        </is>
      </c>
      <c r="C439" s="5" t="inlineStr">
        <is>
          <t>B-7. 生徒日程表・講師日程表（別タブ）</t>
        </is>
      </c>
      <c r="D439" s="16" t="inlineStr">
        <is>
          <t>全教室</t>
        </is>
      </c>
      <c r="E439" s="5" t="inlineStr">
        <is>
          <t>本体(コマ表)から応答がありません。コマ表のタブを開いた状態で、もう一度お試しください。</t>
        </is>
      </c>
      <c r="F439" s="5" t="inlineStr">
        <is>
          <t>別タブ通信の失敗</t>
        </is>
      </c>
      <c r="G439" s="5" t="inlineStr">
        <is>
          <t>scheduleHtml.ts / 7815</t>
        </is>
      </c>
      <c r="H439" s="16" t="inlineStr">
        <is>
          <t xml:space="preserve">7566 / </t>
        </is>
      </c>
      <c r="I439" s="15" t="inlineStr">
        <is>
          <t>「本体」</t>
        </is>
      </c>
      <c r="J439" s="6" t="n"/>
      <c r="K439" s="14" t="n"/>
      <c r="L439" s="6" t="n"/>
    </row>
    <row r="440">
      <c r="A440" s="16" t="n">
        <v>439</v>
      </c>
      <c r="B440" s="16" t="inlineStr">
        <is>
          <t>室長</t>
        </is>
      </c>
      <c r="C440" s="5" t="inlineStr">
        <is>
          <t>B-7. 生徒日程表・講師日程表（別タブ）</t>
        </is>
      </c>
      <c r="D440" s="16" t="inlineStr">
        <is>
          <t>全教室</t>
        </is>
      </c>
      <c r="E440" s="5" t="inlineStr">
        <is>
          <t>教室が切り替わっています。日程表を開き直してください。</t>
        </is>
      </c>
      <c r="F440" s="5" t="inlineStr">
        <is>
          <t>教室切替後</t>
        </is>
      </c>
      <c r="G440" s="5" t="inlineStr">
        <is>
          <t>scheduleHtml.ts / lessonHistoryMessage.ts</t>
        </is>
      </c>
      <c r="H440" s="16" t="inlineStr">
        <is>
          <t>7830 / 80</t>
        </is>
      </c>
      <c r="I440" s="5" t="inlineStr"/>
      <c r="J440" s="6" t="n"/>
      <c r="K440" s="14" t="n"/>
      <c r="L440" s="6" t="n"/>
    </row>
    <row r="441">
      <c r="A441" s="16" t="n">
        <v>440</v>
      </c>
      <c r="B441" s="16" t="inlineStr">
        <is>
          <t>室長</t>
        </is>
      </c>
      <c r="C441" s="5" t="inlineStr">
        <is>
          <t>B-7. 生徒日程表・講師日程表（別タブ）</t>
        </is>
      </c>
      <c r="D441" s="16" t="inlineStr">
        <is>
          <t>検証用教室・staging のみ</t>
        </is>
      </c>
      <c r="E441" s="5" t="inlineStr">
        <is>
          <t>通常授業履歴を取得できませんでした。時間をおいて、もう一度お試しください。</t>
        </is>
      </c>
      <c r="F441" s="5" t="inlineStr">
        <is>
          <t>履歴の取得失敗</t>
        </is>
      </c>
      <c r="G441" s="5" t="inlineStr">
        <is>
          <t>lessonHistoryMessage.ts</t>
        </is>
      </c>
      <c r="H441" s="16" t="inlineStr">
        <is>
          <t>100</t>
        </is>
      </c>
      <c r="I441" s="5" t="inlineStr"/>
      <c r="J441" s="6" t="n"/>
      <c r="K441" s="14" t="n"/>
      <c r="L441" s="6" t="n"/>
    </row>
    <row r="442">
      <c r="A442" s="16" t="n">
        <v>441</v>
      </c>
      <c r="B442" s="16" t="inlineStr">
        <is>
          <t>室長</t>
        </is>
      </c>
      <c r="C442" s="5" t="inlineStr">
        <is>
          <t>B-7. 生徒日程表・講師日程表（別タブ）</t>
        </is>
      </c>
      <c r="D442" s="16" t="inlineStr">
        <is>
          <t>検証用教室・staging のみ</t>
        </is>
      </c>
      <c r="E442" s="5" t="inlineStr">
        <is>
          <t>保存済みの記録のみを表示しています(当日の未保存編集は含まれません)。集計日: ◯◯</t>
        </is>
      </c>
      <c r="F442" s="5" t="inlineStr">
        <is>
          <t>履歴モーダルの注記</t>
        </is>
      </c>
      <c r="G442" s="5" t="inlineStr">
        <is>
          <t>scheduleHtml.ts</t>
        </is>
      </c>
      <c r="H442" s="16" t="inlineStr">
        <is>
          <t>7706</t>
        </is>
      </c>
      <c r="I442" s="5" t="inlineStr"/>
      <c r="J442" s="6" t="n"/>
      <c r="K442" s="14" t="n"/>
      <c r="L442" s="6" t="n"/>
    </row>
    <row r="443">
      <c r="A443" s="16" t="n">
        <v>442</v>
      </c>
      <c r="B443" s="16" t="inlineStr">
        <is>
          <t>室長</t>
        </is>
      </c>
      <c r="C443" s="5" t="inlineStr">
        <is>
          <t>B-7. 生徒日程表・講師日程表（別タブ）</t>
        </is>
      </c>
      <c r="D443" s="16" t="inlineStr">
        <is>
          <t>検証用教室・staging のみ</t>
        </is>
      </c>
      <c r="E443" s="5" t="inlineStr">
        <is>
          <t>期間を選んで「表示」を押してください。</t>
        </is>
      </c>
      <c r="F443" s="5" t="inlineStr">
        <is>
          <t>履歴モーダル</t>
        </is>
      </c>
      <c r="G443" s="5" t="inlineStr">
        <is>
          <t>scheduleHtml.ts / 7683 / 7715</t>
        </is>
      </c>
      <c r="H443" s="16" t="inlineStr">
        <is>
          <t xml:space="preserve">7723 /  / </t>
        </is>
      </c>
      <c r="I443" s="5" t="inlineStr"/>
      <c r="J443" s="6" t="n"/>
      <c r="K443" s="14" t="n"/>
      <c r="L443" s="6" t="n"/>
    </row>
    <row r="444">
      <c r="A444" s="16" t="n">
        <v>443</v>
      </c>
      <c r="B444" s="16" t="inlineStr">
        <is>
          <t>室長</t>
        </is>
      </c>
      <c r="C444" s="5" t="inlineStr">
        <is>
          <t>B-7. 生徒日程表・講師日程表（別タブ）</t>
        </is>
      </c>
      <c r="D444" s="16" t="inlineStr">
        <is>
          <t>検証用教室・staging のみ</t>
        </is>
      </c>
      <c r="E444" s="5" t="inlineStr">
        <is>
          <t>この期間に保存済みの記録はありません。</t>
        </is>
      </c>
      <c r="F444" s="5" t="inlineStr">
        <is>
          <t>履歴モーダル</t>
        </is>
      </c>
      <c r="G444" s="5" t="inlineStr">
        <is>
          <t>scheduleHtml.ts / 7683 / 7715</t>
        </is>
      </c>
      <c r="H444" s="16" t="inlineStr">
        <is>
          <t xml:space="preserve">7723 /  / </t>
        </is>
      </c>
      <c r="I444" s="5" t="inlineStr"/>
      <c r="J444" s="6" t="n"/>
      <c r="K444" s="14" t="n"/>
      <c r="L444" s="6" t="n"/>
    </row>
    <row r="445">
      <c r="A445" s="16" t="n">
        <v>444</v>
      </c>
      <c r="B445" s="16" t="inlineStr">
        <is>
          <t>室長</t>
        </is>
      </c>
      <c r="C445" s="5" t="inlineStr">
        <is>
          <t>B-7. 生徒日程表・講師日程表（別タブ）</t>
        </is>
      </c>
      <c r="D445" s="16" t="inlineStr">
        <is>
          <t>検証用教室・staging のみ</t>
        </is>
      </c>
      <c r="E445" s="5" t="inlineStr">
        <is>
          <t>読み込み中です…</t>
        </is>
      </c>
      <c r="F445" s="5" t="inlineStr">
        <is>
          <t>履歴モーダル</t>
        </is>
      </c>
      <c r="G445" s="5" t="inlineStr">
        <is>
          <t>scheduleHtml.ts / 7683 / 7715</t>
        </is>
      </c>
      <c r="H445" s="16" t="inlineStr">
        <is>
          <t xml:space="preserve">7723 /  / </t>
        </is>
      </c>
      <c r="I445" s="5" t="inlineStr"/>
      <c r="J445" s="6" t="n"/>
      <c r="K445" s="14" t="n"/>
      <c r="L445" s="6" t="n"/>
    </row>
    <row r="446">
      <c r="A446" s="16" t="n">
        <v>445</v>
      </c>
      <c r="B446" s="16" t="inlineStr">
        <is>
          <t>室長</t>
        </is>
      </c>
      <c r="C446" s="5" t="inlineStr">
        <is>
          <t>B-7. 生徒日程表・講師日程表（別タブ）</t>
        </is>
      </c>
      <c r="D446" s="16" t="inlineStr">
        <is>
          <t>検証用教室・staging のみ</t>
        </is>
      </c>
      <c r="E446" s="5" t="inlineStr">
        <is>
          <t>指定期間が1年(366日)を超えたため、終了日から1年分に丸めました。</t>
        </is>
      </c>
      <c r="F446" s="5" t="inlineStr">
        <is>
          <t>履歴モーダル</t>
        </is>
      </c>
      <c r="G446" s="5" t="inlineStr">
        <is>
          <t>scheduleHtml.ts</t>
        </is>
      </c>
      <c r="H446" s="16" t="inlineStr">
        <is>
          <t>7729</t>
        </is>
      </c>
      <c r="I446" s="15" t="inlineStr">
        <is>
          <t>「丸めました」</t>
        </is>
      </c>
      <c r="J446" s="6" t="n"/>
      <c r="K446" s="14" t="n"/>
      <c r="L446" s="6" t="n"/>
    </row>
    <row r="447">
      <c r="A447" s="16" t="n">
        <v>446</v>
      </c>
      <c r="B447" s="16" t="inlineStr">
        <is>
          <t>室長</t>
        </is>
      </c>
      <c r="C447" s="5" t="inlineStr">
        <is>
          <t>B-7. 生徒日程表・講師日程表（別タブ）</t>
        </is>
      </c>
      <c r="D447" s="16" t="inlineStr">
        <is>
          <t>検証用教室・staging のみ</t>
        </is>
      </c>
      <c r="E447" s="5" t="inlineStr">
        <is>
          <t>終了日が開始日より後になっています。終了日を開始日以降にしてから「表示」を押してください。</t>
        </is>
      </c>
      <c r="F447" s="5" t="inlineStr">
        <is>
          <t>履歴モーダル</t>
        </is>
      </c>
      <c r="G447" s="5" t="inlineStr">
        <is>
          <t>scheduleHtml.ts</t>
        </is>
      </c>
      <c r="H447" s="16" t="inlineStr">
        <is>
          <t>7783</t>
        </is>
      </c>
      <c r="I447" s="5" t="inlineStr"/>
      <c r="J447" s="6" t="n"/>
      <c r="K447" s="14" t="n"/>
      <c r="L447" s="6" t="n"/>
    </row>
    <row r="448">
      <c r="A448" s="16" t="n">
        <v>447</v>
      </c>
      <c r="B448" s="16" t="inlineStr">
        <is>
          <t>室長</t>
        </is>
      </c>
      <c r="C448" s="5" t="inlineStr">
        <is>
          <t>B-7. 生徒日程表・講師日程表（別タブ）</t>
        </is>
      </c>
      <c r="D448" s="16" t="inlineStr">
        <is>
          <t>全教室</t>
        </is>
      </c>
      <c r="E448" s="5" t="inlineStr">
        <is>
          <t>印刷用全員表示を準備しています...</t>
        </is>
      </c>
      <c r="F448" s="5" t="inlineStr">
        <is>
          <t>印刷用全員表示</t>
        </is>
      </c>
      <c r="G448" s="5" t="inlineStr">
        <is>
          <t>scheduleHtml.ts</t>
        </is>
      </c>
      <c r="H448" s="16" t="inlineStr">
        <is>
          <t>7985</t>
        </is>
      </c>
      <c r="I448" s="15" t="inlineStr">
        <is>
          <t>三点リーダ半角</t>
        </is>
      </c>
      <c r="J448" s="6" t="n"/>
      <c r="K448" s="14" t="n"/>
      <c r="L448" s="6" t="n"/>
    </row>
    <row r="449">
      <c r="A449" s="16" t="n">
        <v>448</v>
      </c>
      <c r="B449" s="16" t="inlineStr">
        <is>
          <t>室長</t>
        </is>
      </c>
      <c r="C449" s="5" t="inlineStr">
        <is>
          <t>B-7. 生徒日程表・講師日程表（別タブ）</t>
        </is>
      </c>
      <c r="D449" s="16" t="inlineStr">
        <is>
          <t>全教室</t>
        </is>
      </c>
      <c r="E449" s="5" t="inlineStr">
        <is>
          <t>生徒日程を開けませんでした。ポップアップを許可してください。</t>
        </is>
      </c>
      <c r="F449" s="5" t="inlineStr">
        <is>
          <t>別タブが開けない</t>
        </is>
      </c>
      <c r="G449" s="5" t="inlineStr">
        <is>
          <t>scheduleHtml.ts / 8233</t>
        </is>
      </c>
      <c r="H449" s="16" t="inlineStr">
        <is>
          <t xml:space="preserve">8173 / </t>
        </is>
      </c>
      <c r="I449" s="5" t="inlineStr"/>
      <c r="J449" s="6" t="n"/>
      <c r="K449" s="14" t="n"/>
      <c r="L449" s="6" t="n"/>
    </row>
    <row r="450">
      <c r="A450" s="16" t="n">
        <v>449</v>
      </c>
      <c r="B450" s="16" t="inlineStr">
        <is>
          <t>室長</t>
        </is>
      </c>
      <c r="C450" s="5" t="inlineStr">
        <is>
          <t>B-7. 生徒日程表・講師日程表（別タブ）</t>
        </is>
      </c>
      <c r="D450" s="16" t="inlineStr">
        <is>
          <t>全教室</t>
        </is>
      </c>
      <c r="E450" s="5" t="inlineStr">
        <is>
          <t>印刷用生徒日程表を開けませんでした。ポップアップを許可してください。</t>
        </is>
      </c>
      <c r="F450" s="5" t="inlineStr">
        <is>
          <t>別タブが開けない</t>
        </is>
      </c>
      <c r="G450" s="5" t="inlineStr">
        <is>
          <t>scheduleHtml.ts / 8233</t>
        </is>
      </c>
      <c r="H450" s="16" t="inlineStr">
        <is>
          <t xml:space="preserve">8173 / </t>
        </is>
      </c>
      <c r="I450" s="5" t="inlineStr"/>
      <c r="J450" s="6" t="n"/>
      <c r="K450" s="14" t="n"/>
      <c r="L450" s="6" t="n"/>
    </row>
    <row r="451">
      <c r="A451" s="16" t="n">
        <v>450</v>
      </c>
      <c r="B451" s="16" t="inlineStr">
        <is>
          <t>室長</t>
        </is>
      </c>
      <c r="C451" s="5" t="inlineStr">
        <is>
          <t>B-7. 生徒日程表・講師日程表（別タブ）</t>
        </is>
      </c>
      <c r="D451" s="16" t="inlineStr">
        <is>
          <t>全教室</t>
        </is>
      </c>
      <c r="E451" s="5" t="inlineStr">
        <is>
          <t>移動先の席にはすでに生徒がいます。</t>
        </is>
      </c>
      <c r="F451" s="5" t="inlineStr">
        <is>
          <t>日程表コマ組み（D&amp;D）の失敗</t>
        </is>
      </c>
      <c r="G451" s="5" t="inlineStr">
        <is>
          <t>scheduleViewMove.ts</t>
        </is>
      </c>
      <c r="H451" s="16" t="inlineStr">
        <is>
          <t>140–256</t>
        </is>
      </c>
      <c r="I451" s="5" t="inlineStr"/>
      <c r="J451" s="6" t="n"/>
      <c r="K451" s="14" t="n"/>
      <c r="L451" s="6" t="n"/>
    </row>
    <row r="452">
      <c r="A452" s="16" t="n">
        <v>451</v>
      </c>
      <c r="B452" s="16" t="inlineStr">
        <is>
          <t>室長</t>
        </is>
      </c>
      <c r="C452" s="5" t="inlineStr">
        <is>
          <t>B-7. 生徒日程表・講師日程表（別タブ）</t>
        </is>
      </c>
      <c r="D452" s="16" t="inlineStr">
        <is>
          <t>全教室</t>
        </is>
      </c>
      <c r="E452" s="5" t="inlineStr">
        <is>
          <t>メモがある席には配置できません。メモを削除してから配置してください。</t>
        </is>
      </c>
      <c r="F452" s="5" t="inlineStr">
        <is>
          <t>日程表コマ組み（D&amp;D）の失敗</t>
        </is>
      </c>
      <c r="G452" s="5" t="inlineStr">
        <is>
          <t>scheduleViewMove.ts</t>
        </is>
      </c>
      <c r="H452" s="16" t="inlineStr">
        <is>
          <t>140–256</t>
        </is>
      </c>
      <c r="I452" s="5" t="inlineStr"/>
      <c r="J452" s="6" t="n"/>
      <c r="K452" s="14" t="n"/>
      <c r="L452" s="6" t="n"/>
    </row>
    <row r="453">
      <c r="A453" s="16" t="n">
        <v>452</v>
      </c>
      <c r="B453" s="16" t="inlineStr">
        <is>
          <t>室長</t>
        </is>
      </c>
      <c r="C453" s="5" t="inlineStr">
        <is>
          <t>B-7. 生徒日程表・講師日程表（別タブ）</t>
        </is>
      </c>
      <c r="D453" s="16" t="inlineStr">
        <is>
          <t>全教室</t>
        </is>
      </c>
      <c r="E453" s="5" t="inlineStr">
        <is>
          <t>移動先の机が見つかりませんでした。表示が最新か「最新表示」で更新してください。</t>
        </is>
      </c>
      <c r="F453" s="5" t="inlineStr">
        <is>
          <t>日程表コマ組み（D&amp;D）の失敗</t>
        </is>
      </c>
      <c r="G453" s="5" t="inlineStr">
        <is>
          <t>scheduleViewMove.ts</t>
        </is>
      </c>
      <c r="H453" s="16" t="inlineStr">
        <is>
          <t>140–256</t>
        </is>
      </c>
      <c r="I453" s="5" t="inlineStr"/>
      <c r="J453" s="6" t="n"/>
      <c r="K453" s="14" t="n"/>
      <c r="L453" s="6" t="n"/>
    </row>
    <row r="454">
      <c r="A454" s="16" t="n">
        <v>453</v>
      </c>
      <c r="B454" s="16" t="inlineStr">
        <is>
          <t>室長</t>
        </is>
      </c>
      <c r="C454" s="5" t="inlineStr">
        <is>
          <t>B-7. 生徒日程表・講師日程表（別タブ）</t>
        </is>
      </c>
      <c r="D454" s="16" t="inlineStr">
        <is>
          <t>全教室</t>
        </is>
      </c>
      <c r="E454" s="5" t="inlineStr">
        <is>
          <t>◯限(◯月◯日)に空き席がありません。席1〜◯。表示が最新か「最新表示」で更新してください。</t>
        </is>
      </c>
      <c r="F454" s="5" t="inlineStr">
        <is>
          <t>日程表コマ組み（D&amp;D）の失敗</t>
        </is>
      </c>
      <c r="G454" s="5" t="inlineStr">
        <is>
          <t>scheduleViewMove.ts</t>
        </is>
      </c>
      <c r="H454" s="16" t="inlineStr">
        <is>
          <t>140–256</t>
        </is>
      </c>
      <c r="I454" s="5" t="inlineStr"/>
      <c r="J454" s="6" t="n"/>
      <c r="K454" s="14" t="n"/>
      <c r="L454" s="6" t="n"/>
    </row>
    <row r="455">
      <c r="A455" s="16" t="n">
        <v>454</v>
      </c>
      <c r="B455" s="16" t="inlineStr">
        <is>
          <t>室長</t>
        </is>
      </c>
      <c r="C455" s="5" t="inlineStr">
        <is>
          <t>B-7. 生徒日程表・講師日程表（別タブ）</t>
        </is>
      </c>
      <c r="D455" s="16" t="inlineStr">
        <is>
          <t>全教室</t>
        </is>
      </c>
      <c r="E455" s="5" t="inlineStr">
        <is>
          <t>日程表コマ組み: ◯◯</t>
        </is>
      </c>
      <c r="F455" s="5" t="inlineStr">
        <is>
          <t>移動の結果</t>
        </is>
      </c>
      <c r="G455" s="5" t="inlineStr">
        <is>
          <t>ScheduleBoardScreen.tsx</t>
        </is>
      </c>
      <c r="H455" s="16" t="inlineStr">
        <is>
          <t>10135–10136</t>
        </is>
      </c>
      <c r="I455" s="5" t="inlineStr"/>
      <c r="J455" s="6" t="n"/>
      <c r="K455" s="14" t="n"/>
      <c r="L455" s="6" t="n"/>
    </row>
    <row r="456">
      <c r="A456" s="16" t="n">
        <v>455</v>
      </c>
      <c r="B456" s="16" t="inlineStr">
        <is>
          <t>室長</t>
        </is>
      </c>
      <c r="C456" s="5" t="inlineStr">
        <is>
          <t>B-7. 生徒日程表・講師日程表（別タブ）</t>
        </is>
      </c>
      <c r="D456" s="16" t="inlineStr">
        <is>
          <t>全教室</t>
        </is>
      </c>
      <c r="E456" s="5" t="inlineStr">
        <is>
          <t>◯◯ 手動保存で確定されます。</t>
        </is>
      </c>
      <c r="F456" s="5" t="inlineStr">
        <is>
          <t>移動の結果</t>
        </is>
      </c>
      <c r="G456" s="5" t="inlineStr">
        <is>
          <t>ScheduleBoardScreen.tsx</t>
        </is>
      </c>
      <c r="H456" s="16" t="inlineStr">
        <is>
          <t>10135–10136</t>
        </is>
      </c>
      <c r="I456" s="5" t="inlineStr"/>
      <c r="J456" s="6" t="n"/>
      <c r="K456" s="14" t="n"/>
      <c r="L456" s="6" t="n"/>
    </row>
    <row r="457">
      <c r="A457" s="12" t="n">
        <v>456</v>
      </c>
      <c r="B457" s="12" t="inlineStr">
        <is>
          <t>室長</t>
        </is>
      </c>
      <c r="C457" s="13" t="inlineStr">
        <is>
          <t>B-8. 「質問・要望」モーダル</t>
        </is>
      </c>
      <c r="D457" s="12" t="inlineStr">
        <is>
          <t>全教室</t>
        </is>
      </c>
      <c r="E457" s="13" t="inlineStr">
        <is>
          <t>使い方の質問も、追加してほしい要望も、「おかしいな」と思ったことも、そのまま開発者へ送れます</t>
        </is>
      </c>
      <c r="F457" s="13" t="inlineStr">
        <is>
          <t>ボタンのツールチップ</t>
        </is>
      </c>
      <c r="G457" s="13" t="inlineStr">
        <is>
          <t>developerReport.ts</t>
        </is>
      </c>
      <c r="H457" s="12" t="inlineStr">
        <is>
          <t>68</t>
        </is>
      </c>
      <c r="I457" s="13" t="inlineStr"/>
      <c r="J457" s="6" t="n"/>
      <c r="K457" s="14" t="n"/>
      <c r="L457" s="6" t="n"/>
    </row>
    <row r="458">
      <c r="A458" s="12" t="n">
        <v>457</v>
      </c>
      <c r="B458" s="12" t="inlineStr">
        <is>
          <t>室長</t>
        </is>
      </c>
      <c r="C458" s="13" t="inlineStr">
        <is>
          <t>B-8. 「質問・要望」モーダル</t>
        </is>
      </c>
      <c r="D458" s="12" t="inlineStr">
        <is>
          <t>全教室</t>
        </is>
      </c>
      <c r="E458" s="13" t="inlineStr">
        <is>
          <t>使い方の質問も、「こうしてほしい」という要望も、「おかしいな」と思ったことも、そのまま送ってください。（教室名）直近の操作履歴と、いまの画面のデータが開発者に届きます。</t>
        </is>
      </c>
      <c r="F458" s="13" t="inlineStr">
        <is>
          <t>モーダル上部の説明</t>
        </is>
      </c>
      <c r="G458" s="13" t="inlineStr">
        <is>
          <t>developerReport.ts</t>
        </is>
      </c>
      <c r="H458" s="12" t="inlineStr">
        <is>
          <t>70</t>
        </is>
      </c>
      <c r="I458" s="13" t="inlineStr"/>
      <c r="J458" s="6" t="n"/>
      <c r="K458" s="14" t="n"/>
      <c r="L458" s="6" t="n"/>
    </row>
    <row r="459">
      <c r="A459" s="12" t="n">
        <v>458</v>
      </c>
      <c r="B459" s="12" t="inlineStr">
        <is>
          <t>室長</t>
        </is>
      </c>
      <c r="C459" s="13" t="inlineStr">
        <is>
          <t>B-8. 「質問・要望」モーダル</t>
        </is>
      </c>
      <c r="D459" s="12" t="inlineStr">
        <is>
          <t>全教室</t>
        </is>
      </c>
      <c r="E459" s="13" t="inlineStr">
        <is>
          <t>使い方の質問</t>
        </is>
      </c>
      <c r="F459" s="13" t="inlineStr">
        <is>
          <t>種類の選択肢</t>
        </is>
      </c>
      <c r="G459" s="13" t="inlineStr">
        <is>
          <t>developerReport.ts</t>
        </is>
      </c>
      <c r="H459" s="12" t="inlineStr">
        <is>
          <t>74–76</t>
        </is>
      </c>
      <c r="I459" s="13" t="inlineStr"/>
      <c r="J459" s="6" t="n"/>
      <c r="K459" s="14" t="n"/>
      <c r="L459" s="6" t="n"/>
    </row>
    <row r="460">
      <c r="A460" s="12" t="n">
        <v>459</v>
      </c>
      <c r="B460" s="12" t="inlineStr">
        <is>
          <t>室長</t>
        </is>
      </c>
      <c r="C460" s="13" t="inlineStr">
        <is>
          <t>B-8. 「質問・要望」モーダル</t>
        </is>
      </c>
      <c r="D460" s="12" t="inlineStr">
        <is>
          <t>全教室</t>
        </is>
      </c>
      <c r="E460" s="13" t="inlineStr">
        <is>
          <t>追加してほしい・要望</t>
        </is>
      </c>
      <c r="F460" s="13" t="inlineStr">
        <is>
          <t>種類の選択肢</t>
        </is>
      </c>
      <c r="G460" s="13" t="inlineStr">
        <is>
          <t>developerReport.ts</t>
        </is>
      </c>
      <c r="H460" s="12" t="inlineStr">
        <is>
          <t>74–76</t>
        </is>
      </c>
      <c r="I460" s="13" t="inlineStr"/>
      <c r="J460" s="6" t="n"/>
      <c r="K460" s="14" t="n"/>
      <c r="L460" s="6" t="n"/>
    </row>
    <row r="461">
      <c r="A461" s="12" t="n">
        <v>460</v>
      </c>
      <c r="B461" s="12" t="inlineStr">
        <is>
          <t>室長</t>
        </is>
      </c>
      <c r="C461" s="13" t="inlineStr">
        <is>
          <t>B-8. 「質問・要望」モーダル</t>
        </is>
      </c>
      <c r="D461" s="12" t="inlineStr">
        <is>
          <t>全教室</t>
        </is>
      </c>
      <c r="E461" s="13" t="inlineStr">
        <is>
          <t>不具合・おかしい</t>
        </is>
      </c>
      <c r="F461" s="13" t="inlineStr">
        <is>
          <t>種類の選択肢</t>
        </is>
      </c>
      <c r="G461" s="13" t="inlineStr">
        <is>
          <t>developerReport.ts</t>
        </is>
      </c>
      <c r="H461" s="12" t="inlineStr">
        <is>
          <t>74–76</t>
        </is>
      </c>
      <c r="I461" s="13" t="inlineStr"/>
      <c r="J461" s="6" t="n"/>
      <c r="K461" s="14" t="n"/>
      <c r="L461" s="6" t="n"/>
    </row>
    <row r="462">
      <c r="A462" s="12" t="n">
        <v>461</v>
      </c>
      <c r="B462" s="12" t="inlineStr">
        <is>
          <t>室長</t>
        </is>
      </c>
      <c r="C462" s="13" t="inlineStr">
        <is>
          <t>B-8. 「質問・要望」モーダル</t>
        </is>
      </c>
      <c r="D462" s="12" t="inlineStr">
        <is>
          <t>全教室</t>
        </is>
      </c>
      <c r="E462" s="13" t="inlineStr">
        <is>
          <t>例: 9/3(水) 3限、田中先生の机で、青木さんの振替(数学)を移動したら未消化に戻らなかった ／ 講師日程表にも電話番号の欄が…</t>
        </is>
      </c>
      <c r="F462" s="13" t="inlineStr">
        <is>
          <t>入力欄のプレースホルダ</t>
        </is>
      </c>
      <c r="G462" s="13" t="inlineStr">
        <is>
          <t>developerReport.ts</t>
        </is>
      </c>
      <c r="H462" s="12" t="inlineStr">
        <is>
          <t>79</t>
        </is>
      </c>
      <c r="I462" s="13" t="inlineStr"/>
      <c r="J462" s="6" t="n"/>
      <c r="K462" s="14" t="n"/>
      <c r="L462" s="6" t="n"/>
    </row>
    <row r="463">
      <c r="A463" s="12" t="n">
        <v>462</v>
      </c>
      <c r="B463" s="12" t="inlineStr">
        <is>
          <t>室長</t>
        </is>
      </c>
      <c r="C463" s="13" t="inlineStr">
        <is>
          <t>B-8. 「質問・要望」モーダル</t>
        </is>
      </c>
      <c r="D463" s="12" t="inlineStr">
        <is>
          <t>全教室</t>
        </is>
      </c>
      <c r="E463" s="13" t="inlineStr">
        <is>
          <t>生徒名・日付・コマ(何限)・どの操作をしたら何が起きたか(期待した結果との違い)を具体的に書いていただくと、確認の精度が上がります。</t>
        </is>
      </c>
      <c r="F463" s="13" t="inlineStr">
        <is>
          <t>入力欄の下</t>
        </is>
      </c>
      <c r="G463" s="13" t="inlineStr">
        <is>
          <t>developerReport.ts</t>
        </is>
      </c>
      <c r="H463" s="12" t="inlineStr">
        <is>
          <t>81</t>
        </is>
      </c>
      <c r="I463" s="13" t="inlineStr"/>
      <c r="J463" s="6" t="n"/>
      <c r="K463" s="14" t="n"/>
      <c r="L463" s="6" t="n"/>
    </row>
    <row r="464">
      <c r="A464" s="12" t="n">
        <v>463</v>
      </c>
      <c r="B464" s="12" t="inlineStr">
        <is>
          <t>室長</t>
        </is>
      </c>
      <c r="C464" s="13" t="inlineStr">
        <is>
          <t>B-8. 「質問・要望」モーダル</t>
        </is>
      </c>
      <c r="D464" s="12" t="inlineStr">
        <is>
          <t>全教室</t>
        </is>
      </c>
      <c r="E464" s="13" t="inlineStr">
        <is>
          <t>回答は開発者が確認してからお返しします（すぐには返りません・自動返信はしません）。</t>
        </is>
      </c>
      <c r="F464" s="13" t="inlineStr">
        <is>
          <t>「質問」を選んだときの注意</t>
        </is>
      </c>
      <c r="G464" s="13" t="inlineStr">
        <is>
          <t>developerReport.ts</t>
        </is>
      </c>
      <c r="H464" s="12" t="inlineStr">
        <is>
          <t>83</t>
        </is>
      </c>
      <c r="I464" s="13" t="inlineStr"/>
      <c r="J464" s="6" t="n"/>
      <c r="K464" s="14" t="n"/>
      <c r="L464" s="6" t="n"/>
    </row>
    <row r="465">
      <c r="A465" s="12" t="n">
        <v>464</v>
      </c>
      <c r="B465" s="12" t="inlineStr">
        <is>
          <t>室長</t>
        </is>
      </c>
      <c r="C465" s="13" t="inlineStr">
        <is>
          <t>B-8. 「質問・要望」モーダル</t>
        </is>
      </c>
      <c r="D465" s="12" t="inlineStr">
        <is>
          <t>検証用教室・staging のみ</t>
        </is>
      </c>
      <c r="E465" s="13" t="inlineStr"/>
      <c r="F465" s="13" t="inlineStr">
        <is>
          <t>同上（AI回答が有効な教室）</t>
        </is>
      </c>
      <c r="G465" s="13" t="inlineStr">
        <is>
          <t>developerReport.ts</t>
        </is>
      </c>
      <c r="H465" s="12" t="inlineStr">
        <is>
          <t>85</t>
        </is>
      </c>
      <c r="I465" s="15" t="inlineStr">
        <is>
          <t>`【試験中】送信すると、AI がマニュアルをもとにその場で回答します（誤りがあり得ます）。質問は開発者にも届きます。`</t>
        </is>
      </c>
      <c r="J465" s="6" t="n"/>
      <c r="K465" s="14" t="n"/>
      <c r="L465" s="6" t="n"/>
    </row>
    <row r="466">
      <c r="A466" s="12" t="n">
        <v>465</v>
      </c>
      <c r="B466" s="12" t="inlineStr">
        <is>
          <t>室長</t>
        </is>
      </c>
      <c r="C466" s="13" t="inlineStr">
        <is>
          <t>B-8. 「質問・要望」モーダル</t>
        </is>
      </c>
      <c r="D466" s="12" t="inlineStr">
        <is>
          <t>全教室</t>
        </is>
      </c>
      <c r="E466" s="13" t="inlineStr">
        <is>
          <t>内容を入力してください。何がおかしいか・何をしてほしいかが分からないと、開発者が調べられません。</t>
        </is>
      </c>
      <c r="F466" s="13" t="inlineStr">
        <is>
          <t>空欄で送信</t>
        </is>
      </c>
      <c r="G466" s="13" t="inlineStr">
        <is>
          <t>developerReport.ts</t>
        </is>
      </c>
      <c r="H466" s="12" t="inlineStr">
        <is>
          <t>86</t>
        </is>
      </c>
      <c r="I466" s="13" t="inlineStr"/>
      <c r="J466" s="6" t="n"/>
      <c r="K466" s="14" t="n"/>
      <c r="L466" s="6" t="n"/>
    </row>
    <row r="467">
      <c r="A467" s="12" t="n">
        <v>466</v>
      </c>
      <c r="B467" s="12" t="inlineStr">
        <is>
          <t>室長</t>
        </is>
      </c>
      <c r="C467" s="13" t="inlineStr">
        <is>
          <t>B-8. 「質問・要望」モーダル</t>
        </is>
      </c>
      <c r="D467" s="12" t="inlineStr">
        <is>
          <t>全教室</t>
        </is>
      </c>
      <c r="E467" s="13" t="inlineStr">
        <is>
          <t>送信中…（AI が回答を作成しています）〔検〕</t>
        </is>
      </c>
      <c r="F467" s="13" t="inlineStr">
        <is>
          <t>送信中</t>
        </is>
      </c>
      <c r="G467" s="13" t="inlineStr">
        <is>
          <t>developerReport.ts</t>
        </is>
      </c>
      <c r="H467" s="12" t="inlineStr">
        <is>
          <t>91</t>
        </is>
      </c>
      <c r="I467" s="13" t="inlineStr"/>
      <c r="J467" s="6" t="n"/>
      <c r="K467" s="14" t="n"/>
      <c r="L467" s="6" t="n"/>
    </row>
    <row r="468">
      <c r="A468" s="12" t="n">
        <v>467</v>
      </c>
      <c r="B468" s="12" t="inlineStr">
        <is>
          <t>室長</t>
        </is>
      </c>
      <c r="C468" s="13" t="inlineStr">
        <is>
          <t>B-8. 「質問・要望」モーダル</t>
        </is>
      </c>
      <c r="D468" s="12" t="inlineStr">
        <is>
          <t>全教室</t>
        </is>
      </c>
      <c r="E468" s="13" t="inlineStr">
        <is>
          <t>開発者へ送りました（受付番号 ◯◯）。ありがとうございます。</t>
        </is>
      </c>
      <c r="F468" s="13" t="inlineStr">
        <is>
          <t>送信完了</t>
        </is>
      </c>
      <c r="G468" s="13" t="inlineStr">
        <is>
          <t>developerReport.ts</t>
        </is>
      </c>
      <c r="H468" s="12" t="inlineStr">
        <is>
          <t>214</t>
        </is>
      </c>
      <c r="I468" s="13" t="inlineStr"/>
      <c r="J468" s="6" t="n"/>
      <c r="K468" s="14" t="n"/>
      <c r="L468" s="6" t="n"/>
    </row>
    <row r="469">
      <c r="A469" s="12" t="n">
        <v>468</v>
      </c>
      <c r="B469" s="12" t="inlineStr">
        <is>
          <t>室長</t>
        </is>
      </c>
      <c r="C469" s="13" t="inlineStr">
        <is>
          <t>B-8. 「質問・要望」モーダル</t>
        </is>
      </c>
      <c r="D469" s="12" t="inlineStr">
        <is>
          <t>全教室</t>
        </is>
      </c>
      <c r="E469" s="13" t="inlineStr"/>
      <c r="F469" s="13" t="inlineStr">
        <is>
          <t>本文に #テスト を含めたとき</t>
        </is>
      </c>
      <c r="G469" s="13" t="inlineStr">
        <is>
          <t>developerReport.ts</t>
        </is>
      </c>
      <c r="H469" s="12" t="inlineStr">
        <is>
          <t>213</t>
        </is>
      </c>
      <c r="I469" s="15" t="inlineStr">
        <is>
          <t>`テストとして受け付けました（受付番号 ◯◯）。開発者への課題登録は行いません。`</t>
        </is>
      </c>
      <c r="J469" s="6" t="n"/>
      <c r="K469" s="14" t="n"/>
      <c r="L469" s="6" t="n"/>
    </row>
    <row r="470">
      <c r="A470" s="12" t="n">
        <v>469</v>
      </c>
      <c r="B470" s="12" t="inlineStr">
        <is>
          <t>室長</t>
        </is>
      </c>
      <c r="C470" s="13" t="inlineStr">
        <is>
          <t>B-8. 「質問・要望」モーダル</t>
        </is>
      </c>
      <c r="D470" s="12" t="inlineStr">
        <is>
          <t>検証用教室・staging のみ</t>
        </is>
      </c>
      <c r="E470" s="13" t="inlineStr"/>
      <c r="F470" s="13" t="inlineStr">
        <is>
          <t>AI回答の見出し</t>
        </is>
      </c>
      <c r="G470" s="13" t="inlineStr">
        <is>
          <t>developerReport.ts / 215</t>
        </is>
      </c>
      <c r="H470" s="12" t="inlineStr">
        <is>
          <t xml:space="preserve">207 / </t>
        </is>
      </c>
      <c r="I470" s="15" t="inlineStr">
        <is>
          <t>`――― AI の自動回答（試験中・誤りがあり得ます）―――` ＋ `解決しない場合は、開発者が確認してから改めて回答します。`</t>
        </is>
      </c>
      <c r="J470" s="6" t="n"/>
      <c r="K470" s="14" t="n"/>
      <c r="L470" s="6" t="n"/>
    </row>
    <row r="471">
      <c r="A471" s="12" t="n">
        <v>470</v>
      </c>
      <c r="B471" s="12" t="inlineStr">
        <is>
          <t>室長</t>
        </is>
      </c>
      <c r="C471" s="13" t="inlineStr">
        <is>
          <t>B-8. 「質問・要望」モーダル</t>
        </is>
      </c>
      <c r="D471" s="12" t="inlineStr">
        <is>
          <t>全教室</t>
        </is>
      </c>
      <c r="E471" s="13" t="inlineStr">
        <is>
          <t>（AI の自動回答は作れませんでした: ◯◯。開発者が確認してから回答します）〔検〕</t>
        </is>
      </c>
      <c r="F471" s="13" t="inlineStr">
        <is>
          <t>AI失敗時</t>
        </is>
      </c>
      <c r="G471" s="13" t="inlineStr">
        <is>
          <t>developerReport.ts</t>
        </is>
      </c>
      <c r="H471" s="12" t="inlineStr">
        <is>
          <t>216</t>
        </is>
      </c>
      <c r="I471" s="13" t="inlineStr"/>
      <c r="J471" s="6" t="n"/>
      <c r="K471" s="14" t="n"/>
      <c r="L471" s="6" t="n"/>
    </row>
    <row r="472">
      <c r="A472" s="12" t="n">
        <v>471</v>
      </c>
      <c r="B472" s="12" t="inlineStr">
        <is>
          <t>室長</t>
        </is>
      </c>
      <c r="C472" s="13" t="inlineStr">
        <is>
          <t>B-8. 「質問・要望」モーダル</t>
        </is>
      </c>
      <c r="D472" s="12" t="inlineStr">
        <is>
          <t>検証用教室・staging のみ</t>
        </is>
      </c>
      <c r="E472" s="13" t="inlineStr"/>
      <c r="F472" s="13" t="inlineStr">
        <is>
          <t>上の ◯◯ に入る。**完全に開発者向けの文面が室長に出る**</t>
        </is>
      </c>
      <c r="G472" s="13" t="inlineStr">
        <is>
          <t>functions / src / questionAiAnswer.ts</t>
        </is>
      </c>
      <c r="H472" s="12" t="inlineStr">
        <is>
          <t xml:space="preserve"> /  / 116–152</t>
        </is>
      </c>
      <c r="I472" s="15" t="inlineStr">
        <is>
          <t>AI失敗の理由文（`AI(Vertex AI)の認証に失敗しました` / `Vertex AI の権限がありません(API の有効化・実行サービスアカウントの権限を確認)` / `Vertex AI で Claude のモデルが見つかりません(Model Garden でモデルを有効化してください)` / `AI が混み合っています(Vertex AI の割り当て上限)` / `AI の呼び出しに失敗しました(◯◯)` / `AI 回答の設定(GCP プロジェクト)が分かりません`）</t>
        </is>
      </c>
      <c r="J472" s="6" t="n"/>
      <c r="K472" s="14" t="n"/>
      <c r="L472" s="6" t="n"/>
    </row>
    <row r="473">
      <c r="A473" s="12" t="n">
        <v>472</v>
      </c>
      <c r="B473" s="12" t="inlineStr">
        <is>
          <t>室長</t>
        </is>
      </c>
      <c r="C473" s="13" t="inlineStr">
        <is>
          <t>B-8. 「質問・要望」モーダル</t>
        </is>
      </c>
      <c r="D473" s="12" t="inlineStr">
        <is>
          <t>全教室</t>
        </is>
      </c>
      <c r="E473" s="13" t="inlineStr">
        <is>
          <t>送れませんでした: ◯◯</t>
        </is>
      </c>
      <c r="F473" s="13" t="inlineStr">
        <is>
          <t>送信失敗</t>
        </is>
      </c>
      <c r="G473" s="13" t="inlineStr">
        <is>
          <t>developerReport.ts</t>
        </is>
      </c>
      <c r="H473" s="12" t="inlineStr">
        <is>
          <t>219</t>
        </is>
      </c>
      <c r="I473" s="13" t="inlineStr"/>
      <c r="J473" s="6" t="n"/>
      <c r="K473" s="14" t="n"/>
      <c r="L473" s="6" t="n"/>
    </row>
    <row r="474">
      <c r="A474" s="12" t="n">
        <v>473</v>
      </c>
      <c r="B474" s="12" t="inlineStr">
        <is>
          <t>室長</t>
        </is>
      </c>
      <c r="C474" s="13" t="inlineStr">
        <is>
          <t>B-8. 「質問・要望」モーダル</t>
        </is>
      </c>
      <c r="D474" s="12" t="inlineStr">
        <is>
          <t>全教室</t>
        </is>
      </c>
      <c r="E474" s="13" t="inlineStr">
        <is>
          <t>時間をおいて再度お試しください。</t>
        </is>
      </c>
      <c r="F474" s="13" t="inlineStr">
        <is>
          <t>送信失敗（同じ画面・同じダイアログの続き）</t>
        </is>
      </c>
      <c r="G474" s="13" t="inlineStr">
        <is>
          <t>developerReport.ts</t>
        </is>
      </c>
      <c r="H474" s="12" t="inlineStr">
        <is>
          <t>219</t>
        </is>
      </c>
      <c r="I474" s="13" t="inlineStr"/>
      <c r="J474" s="6" t="n"/>
      <c r="K474" s="14" t="n"/>
      <c r="L474" s="6" t="n"/>
    </row>
    <row r="475">
      <c r="A475" s="12" t="n">
        <v>474</v>
      </c>
      <c r="B475" s="12" t="inlineStr">
        <is>
          <t>室長</t>
        </is>
      </c>
      <c r="C475" s="13" t="inlineStr">
        <is>
          <t>B-8. 「質問・要望」モーダル</t>
        </is>
      </c>
      <c r="D475" s="12" t="inlineStr">
        <is>
          <t>全教室</t>
        </is>
      </c>
      <c r="E475" s="13" t="inlineStr">
        <is>
          <t>開発者へ報告しました。</t>
        </is>
      </c>
      <c r="F475" s="13" t="inlineStr">
        <is>
          <t>日程表タブ側の同モーダル</t>
        </is>
      </c>
      <c r="G475" s="13" t="inlineStr">
        <is>
          <t>scheduleHtml.ts</t>
        </is>
      </c>
      <c r="H475" s="12" t="inlineStr">
        <is>
          <t>8133</t>
        </is>
      </c>
      <c r="I475" s="15" t="inlineStr">
        <is>
          <t>ボタン名は「質問・要望」なのに文言は「報告」</t>
        </is>
      </c>
      <c r="J475" s="6" t="n"/>
      <c r="K475" s="14" t="n"/>
      <c r="L475" s="6" t="n"/>
    </row>
    <row r="476">
      <c r="A476" s="12" t="n">
        <v>475</v>
      </c>
      <c r="B476" s="12" t="inlineStr">
        <is>
          <t>室長</t>
        </is>
      </c>
      <c r="C476" s="13" t="inlineStr">
        <is>
          <t>B-8. 「質問・要望」モーダル</t>
        </is>
      </c>
      <c r="D476" s="12" t="inlineStr">
        <is>
          <t>全教室</t>
        </is>
      </c>
      <c r="E476" s="13" t="inlineStr">
        <is>
          <t>報告を送れませんでした。</t>
        </is>
      </c>
      <c r="F476" s="13" t="inlineStr">
        <is>
          <t>日程表タブ側の同モーダル</t>
        </is>
      </c>
      <c r="G476" s="13" t="inlineStr">
        <is>
          <t>scheduleHtml.ts</t>
        </is>
      </c>
      <c r="H476" s="12" t="inlineStr">
        <is>
          <t>8133</t>
        </is>
      </c>
      <c r="I476" s="15" t="inlineStr">
        <is>
          <t>ボタン名は「質問・要望」なのに文言は「報告」</t>
        </is>
      </c>
      <c r="J476" s="6" t="n"/>
      <c r="K476" s="14" t="n"/>
      <c r="L476" s="6" t="n"/>
    </row>
    <row r="477">
      <c r="A477" s="16" t="n">
        <v>476</v>
      </c>
      <c r="B477" s="16" t="inlineStr">
        <is>
          <t>室長</t>
        </is>
      </c>
      <c r="C477" s="5" t="inlineStr">
        <is>
          <t>B-9. 保護者からの休み連絡（室長側）</t>
        </is>
      </c>
      <c r="D477" s="16" t="inlineStr">
        <is>
          <t>検証用教室・staging のみ</t>
        </is>
      </c>
      <c r="E477" s="5" t="inlineStr">
        <is>
          <t>保護者からの休み連絡（◯件）</t>
        </is>
      </c>
      <c r="F477" s="5" t="inlineStr">
        <is>
          <t>通知モーダルの見出し</t>
        </is>
      </c>
      <c r="G477" s="5" t="inlineStr">
        <is>
          <t>ParentMessagesModal.tsx</t>
        </is>
      </c>
      <c r="H477" s="16" t="inlineStr">
        <is>
          <t>40–42</t>
        </is>
      </c>
      <c r="I477" s="5" t="inlineStr"/>
      <c r="J477" s="6" t="n"/>
      <c r="K477" s="14" t="n"/>
      <c r="L477" s="6" t="n"/>
    </row>
    <row r="478">
      <c r="A478" s="16" t="n">
        <v>477</v>
      </c>
      <c r="B478" s="16" t="inlineStr">
        <is>
          <t>室長</t>
        </is>
      </c>
      <c r="C478" s="5" t="inlineStr">
        <is>
          <t>B-9. 保護者からの休み連絡（室長側）</t>
        </is>
      </c>
      <c r="D478" s="16" t="inlineStr">
        <is>
          <t>検証用教室・staging のみ</t>
        </is>
      </c>
      <c r="E478" s="5" t="inlineStr">
        <is>
          <t>コマごとに処理を選んでください。選ぶと保護者のページに「教室確認済」と表示されます。</t>
        </is>
      </c>
      <c r="F478" s="5" t="inlineStr">
        <is>
          <t>同モーダルの説明</t>
        </is>
      </c>
      <c r="G478" s="5" t="inlineStr">
        <is>
          <t>ParentMessagesModal.tsx</t>
        </is>
      </c>
      <c r="H478" s="16" t="inlineStr">
        <is>
          <t>44</t>
        </is>
      </c>
      <c r="I478" s="5" t="inlineStr"/>
      <c r="J478" s="6" t="n"/>
      <c r="K478" s="14" t="n"/>
      <c r="L478" s="6" t="n"/>
    </row>
    <row r="479">
      <c r="A479" s="16" t="n">
        <v>478</v>
      </c>
      <c r="B479" s="16" t="inlineStr">
        <is>
          <t>室長</t>
        </is>
      </c>
      <c r="C479" s="5" t="inlineStr">
        <is>
          <t>B-9. 保護者からの休み連絡（室長側）</t>
        </is>
      </c>
      <c r="D479" s="16" t="inlineStr">
        <is>
          <t>検証用教室・staging のみ</t>
        </is>
      </c>
      <c r="E479" s="5" t="inlineStr">
        <is>
          <t>まだ盤面に無い週の予定</t>
        </is>
      </c>
      <c r="F479" s="5" t="inlineStr">
        <is>
          <t>対象コマの注記</t>
        </is>
      </c>
      <c r="G479" s="5" t="inlineStr">
        <is>
          <t>ParentMessagesModal.tsx</t>
        </is>
      </c>
      <c r="H479" s="16" t="inlineStr">
        <is>
          <t>59</t>
        </is>
      </c>
      <c r="I479" s="5" t="inlineStr"/>
      <c r="J479" s="6" t="n"/>
      <c r="K479" s="14" t="n"/>
      <c r="L479" s="6" t="n"/>
    </row>
    <row r="480">
      <c r="A480" s="16" t="n">
        <v>479</v>
      </c>
      <c r="B480" s="16" t="inlineStr">
        <is>
          <t>室長</t>
        </is>
      </c>
      <c r="C480" s="5" t="inlineStr">
        <is>
          <t>B-9. 保護者からの休み連絡（室長側）</t>
        </is>
      </c>
      <c r="D480" s="16" t="inlineStr">
        <is>
          <t>検証用教室・staging のみ</t>
        </is>
      </c>
      <c r="E480" s="5" t="inlineStr">
        <is>
          <t>休み・振無休・振替先は盤面を保存した時点で処理済みになります(保存前に閉じると次回もう一度表示されます)。</t>
        </is>
      </c>
      <c r="F480" s="5" t="inlineStr">
        <is>
          <t>同モーダル下部</t>
        </is>
      </c>
      <c r="G480" s="5" t="inlineStr">
        <is>
          <t>ParentMessagesModal.tsx</t>
        </is>
      </c>
      <c r="H480" s="16" t="inlineStr">
        <is>
          <t>85</t>
        </is>
      </c>
      <c r="I480" s="5" t="inlineStr"/>
      <c r="J480" s="6" t="n"/>
      <c r="K480" s="14" t="n"/>
      <c r="L480" s="6" t="n"/>
    </row>
    <row r="481">
      <c r="A481" s="16" t="n">
        <v>480</v>
      </c>
      <c r="B481" s="16" t="inlineStr">
        <is>
          <t>室長</t>
        </is>
      </c>
      <c r="C481" s="5" t="inlineStr">
        <is>
          <t>B-9. 保護者からの休み連絡（室長側）</t>
        </is>
      </c>
      <c r="D481" s="16" t="inlineStr">
        <is>
          <t>検証用教室・staging のみ</t>
        </is>
      </c>
      <c r="E481" s="5" t="inlineStr">
        <is>
          <t>あとで(盤面を見る)</t>
        </is>
      </c>
      <c r="F481" s="5" t="inlineStr">
        <is>
          <t>ボタン</t>
        </is>
      </c>
      <c r="G481" s="5" t="inlineStr">
        <is>
          <t>ParentMessagesModal.tsx</t>
        </is>
      </c>
      <c r="H481" s="16" t="inlineStr">
        <is>
          <t>86</t>
        </is>
      </c>
      <c r="I481" s="5" t="inlineStr"/>
      <c r="J481" s="6" t="n"/>
      <c r="K481" s="14" t="n"/>
      <c r="L481" s="6" t="n"/>
    </row>
    <row r="482">
      <c r="A482" s="16" t="n">
        <v>481</v>
      </c>
      <c r="B482" s="16" t="inlineStr">
        <is>
          <t>室長</t>
        </is>
      </c>
      <c r="C482" s="5" t="inlineStr">
        <is>
          <t>B-9. 保護者からの休み連絡（室長側）</t>
        </is>
      </c>
      <c r="D482" s="16" t="inlineStr">
        <is>
          <t>検証用教室・staging のみ</t>
        </is>
      </c>
      <c r="E482" s="5" t="inlineStr">
        <is>
          <t>休み</t>
        </is>
      </c>
      <c r="F482" s="5" t="inlineStr">
        <is>
          <t>処理の選択肢と説明</t>
        </is>
      </c>
      <c r="G482" s="5" t="inlineStr">
        <is>
          <t>parentMessages.ts</t>
        </is>
      </c>
      <c r="H482" s="16" t="inlineStr">
        <is>
          <t>160–170</t>
        </is>
      </c>
      <c r="I482" s="5" t="inlineStr"/>
      <c r="J482" s="6" t="n"/>
      <c r="K482" s="14" t="n"/>
      <c r="L482" s="6" t="n"/>
    </row>
    <row r="483">
      <c r="A483" s="16" t="n">
        <v>482</v>
      </c>
      <c r="B483" s="16" t="inlineStr">
        <is>
          <t>室長</t>
        </is>
      </c>
      <c r="C483" s="5" t="inlineStr">
        <is>
          <t>B-9. 保護者からの休み連絡（室長側）</t>
        </is>
      </c>
      <c r="D483" s="16" t="inlineStr">
        <is>
          <t>検証用教室・staging のみ</t>
        </is>
      </c>
      <c r="E483" s="5" t="inlineStr">
        <is>
          <t>休みにして未消化振替へ戻す</t>
        </is>
      </c>
      <c r="F483" s="5" t="inlineStr">
        <is>
          <t>処理の選択肢と説明（同じ画面・同じダイアログの続き）</t>
        </is>
      </c>
      <c r="G483" s="5" t="inlineStr">
        <is>
          <t>parentMessages.ts</t>
        </is>
      </c>
      <c r="H483" s="16" t="inlineStr">
        <is>
          <t>160–170</t>
        </is>
      </c>
      <c r="I483" s="5" t="inlineStr"/>
      <c r="J483" s="6" t="n"/>
      <c r="K483" s="14" t="n"/>
      <c r="L483" s="6" t="n"/>
    </row>
    <row r="484">
      <c r="A484" s="16" t="n">
        <v>483</v>
      </c>
      <c r="B484" s="16" t="inlineStr">
        <is>
          <t>室長</t>
        </is>
      </c>
      <c r="C484" s="5" t="inlineStr">
        <is>
          <t>B-9. 保護者からの休み連絡（室長側）</t>
        </is>
      </c>
      <c r="D484" s="16" t="inlineStr">
        <is>
          <t>検証用教室・staging のみ</t>
        </is>
      </c>
      <c r="E484" s="5" t="inlineStr">
        <is>
          <t>振無休</t>
        </is>
      </c>
      <c r="F484" s="5" t="inlineStr">
        <is>
          <t>処理の選択肢と説明（同じ画面・同じダイアログの続き）</t>
        </is>
      </c>
      <c r="G484" s="5" t="inlineStr">
        <is>
          <t>parentMessages.ts</t>
        </is>
      </c>
      <c r="H484" s="16" t="inlineStr">
        <is>
          <t>160–170</t>
        </is>
      </c>
      <c r="I484" s="5" t="inlineStr"/>
      <c r="J484" s="6" t="n"/>
      <c r="K484" s="14" t="n"/>
      <c r="L484" s="6" t="n"/>
    </row>
    <row r="485">
      <c r="A485" s="16" t="n">
        <v>484</v>
      </c>
      <c r="B485" s="16" t="inlineStr">
        <is>
          <t>室長</t>
        </is>
      </c>
      <c r="C485" s="5" t="inlineStr">
        <is>
          <t>B-9. 保護者からの休み連絡（室長側）</t>
        </is>
      </c>
      <c r="D485" s="16" t="inlineStr">
        <is>
          <t>検証用教室・staging のみ</t>
        </is>
      </c>
      <c r="E485" s="5" t="inlineStr">
        <is>
          <t>振替なしの休みにする</t>
        </is>
      </c>
      <c r="F485" s="5" t="inlineStr">
        <is>
          <t>処理の選択肢と説明（同じ画面・同じダイアログの続き）</t>
        </is>
      </c>
      <c r="G485" s="5" t="inlineStr">
        <is>
          <t>parentMessages.ts</t>
        </is>
      </c>
      <c r="H485" s="16" t="inlineStr">
        <is>
          <t>160–170</t>
        </is>
      </c>
      <c r="I485" s="5" t="inlineStr"/>
      <c r="J485" s="6" t="n"/>
      <c r="K485" s="14" t="n"/>
      <c r="L485" s="6" t="n"/>
    </row>
    <row r="486">
      <c r="A486" s="16" t="n">
        <v>485</v>
      </c>
      <c r="B486" s="16" t="inlineStr">
        <is>
          <t>室長</t>
        </is>
      </c>
      <c r="C486" s="5" t="inlineStr">
        <is>
          <t>B-9. 保護者からの休み連絡（室長側）</t>
        </is>
      </c>
      <c r="D486" s="16" t="inlineStr">
        <is>
          <t>検証用教室・staging のみ</t>
        </is>
      </c>
      <c r="E486" s="5" t="inlineStr">
        <is>
          <t>振替先を今決める</t>
        </is>
      </c>
      <c r="F486" s="5" t="inlineStr">
        <is>
          <t>処理の選択肢と説明（同じ画面・同じダイアログの続き）</t>
        </is>
      </c>
      <c r="G486" s="5" t="inlineStr">
        <is>
          <t>parentMessages.ts</t>
        </is>
      </c>
      <c r="H486" s="16" t="inlineStr">
        <is>
          <t>160–170</t>
        </is>
      </c>
      <c r="I486" s="5" t="inlineStr"/>
      <c r="J486" s="6" t="n"/>
      <c r="K486" s="14" t="n"/>
      <c r="L486" s="6" t="n"/>
    </row>
    <row r="487">
      <c r="A487" s="16" t="n">
        <v>486</v>
      </c>
      <c r="B487" s="16" t="inlineStr">
        <is>
          <t>室長</t>
        </is>
      </c>
      <c r="C487" s="5" t="inlineStr">
        <is>
          <t>B-9. 保護者からの休み連絡（室長側）</t>
        </is>
      </c>
      <c r="D487" s="16" t="inlineStr">
        <is>
          <t>検証用教室・staging のみ</t>
        </is>
      </c>
      <c r="E487" s="5" t="inlineStr">
        <is>
          <t>休みにして、続けて振替先の空席を選ぶ</t>
        </is>
      </c>
      <c r="F487" s="5" t="inlineStr">
        <is>
          <t>処理の選択肢と説明（同じ画面・同じダイアログの続き）</t>
        </is>
      </c>
      <c r="G487" s="5" t="inlineStr">
        <is>
          <t>parentMessages.ts</t>
        </is>
      </c>
      <c r="H487" s="16" t="inlineStr">
        <is>
          <t>160–170</t>
        </is>
      </c>
      <c r="I487" s="5" t="inlineStr"/>
      <c r="J487" s="6" t="n"/>
      <c r="K487" s="14" t="n"/>
      <c r="L487" s="6" t="n"/>
    </row>
    <row r="488">
      <c r="A488" s="16" t="n">
        <v>487</v>
      </c>
      <c r="B488" s="16" t="inlineStr">
        <is>
          <t>室長</t>
        </is>
      </c>
      <c r="C488" s="5" t="inlineStr">
        <is>
          <t>B-9. 保護者からの休み連絡（室長側）</t>
        </is>
      </c>
      <c r="D488" s="16" t="inlineStr">
        <is>
          <t>検証用教室・staging のみ</t>
        </is>
      </c>
      <c r="E488" s="5" t="inlineStr">
        <is>
          <t>何もしない</t>
        </is>
      </c>
      <c r="F488" s="5" t="inlineStr">
        <is>
          <t>処理の選択肢と説明（同じ画面・同じダイアログの続き）</t>
        </is>
      </c>
      <c r="G488" s="5" t="inlineStr">
        <is>
          <t>parentMessages.ts</t>
        </is>
      </c>
      <c r="H488" s="16" t="inlineStr">
        <is>
          <t>160–170</t>
        </is>
      </c>
      <c r="I488" s="5" t="inlineStr"/>
      <c r="J488" s="6" t="n"/>
      <c r="K488" s="14" t="n"/>
      <c r="L488" s="6" t="n"/>
    </row>
    <row r="489">
      <c r="A489" s="16" t="n">
        <v>488</v>
      </c>
      <c r="B489" s="16" t="inlineStr">
        <is>
          <t>室長</t>
        </is>
      </c>
      <c r="C489" s="5" t="inlineStr">
        <is>
          <t>B-9. 保護者からの休み連絡（室長側）</t>
        </is>
      </c>
      <c r="D489" s="16" t="inlineStr">
        <is>
          <t>検証用教室・staging のみ</t>
        </is>
      </c>
      <c r="E489" s="5" t="inlineStr">
        <is>
          <t>盤面は変えない(手動で処理する)</t>
        </is>
      </c>
      <c r="F489" s="5" t="inlineStr">
        <is>
          <t>処理の選択肢と説明（同じ画面・同じダイアログの続き）</t>
        </is>
      </c>
      <c r="G489" s="5" t="inlineStr">
        <is>
          <t>parentMessages.ts</t>
        </is>
      </c>
      <c r="H489" s="16" t="inlineStr">
        <is>
          <t>160–170</t>
        </is>
      </c>
      <c r="I489" s="5" t="inlineStr"/>
      <c r="J489" s="6" t="n"/>
      <c r="K489" s="14" t="n"/>
      <c r="L489" s="6" t="n"/>
    </row>
    <row r="490">
      <c r="A490" s="16" t="n">
        <v>489</v>
      </c>
      <c r="B490" s="16" t="inlineStr">
        <is>
          <t>室長</t>
        </is>
      </c>
      <c r="C490" s="5" t="inlineStr">
        <is>
          <t>B-9. 保護者からの休み連絡（室長側）</t>
        </is>
      </c>
      <c r="D490" s="16" t="inlineStr">
        <is>
          <t>検証用教室・staging のみ</t>
        </is>
      </c>
      <c r="E490" s="5" t="inlineStr">
        <is>
          <t>前回「◯◯」を選びましたが、保存された盤面で確認が取れなかったため、もう一度表示しています。盤面を確認して選び直してください。</t>
        </is>
      </c>
      <c r="F490" s="5" t="inlineStr">
        <is>
          <t>再表示の理由</t>
        </is>
      </c>
      <c r="G490" s="5" t="inlineStr">
        <is>
          <t>parentMessages.ts</t>
        </is>
      </c>
      <c r="H490" s="16" t="inlineStr">
        <is>
          <t>178</t>
        </is>
      </c>
      <c r="I490" s="5" t="inlineStr"/>
      <c r="J490" s="6" t="n"/>
      <c r="K490" s="14" t="n"/>
      <c r="L490" s="6" t="n"/>
    </row>
    <row r="491">
      <c r="A491" s="16" t="n">
        <v>490</v>
      </c>
      <c r="B491" s="16" t="inlineStr">
        <is>
          <t>室長</t>
        </is>
      </c>
      <c r="C491" s="5" t="inlineStr">
        <is>
          <t>B-9. 保護者からの休み連絡（室長側）</t>
        </is>
      </c>
      <c r="D491" s="16" t="inlineStr">
        <is>
          <t>検証用教室・staging のみ</t>
        </is>
      </c>
      <c r="E491" s="5" t="inlineStr">
        <is>
          <t>保護者連絡(QRからの休み連絡の履歴)</t>
        </is>
      </c>
      <c r="F491" s="5" t="inlineStr">
        <is>
          <t>履歴モーダル</t>
        </is>
      </c>
      <c r="G491" s="5" t="inlineStr">
        <is>
          <t>ParentContactHistoryModal.tsx</t>
        </is>
      </c>
      <c r="H491" s="16" t="inlineStr">
        <is>
          <t>52–63</t>
        </is>
      </c>
      <c r="I491" s="5" t="inlineStr"/>
      <c r="J491" s="6" t="n"/>
      <c r="K491" s="14" t="n"/>
      <c r="L491" s="6" t="n"/>
    </row>
    <row r="492">
      <c r="A492" s="16" t="n">
        <v>491</v>
      </c>
      <c r="B492" s="16" t="inlineStr">
        <is>
          <t>室長</t>
        </is>
      </c>
      <c r="C492" s="5" t="inlineStr">
        <is>
          <t>B-9. 保護者からの休み連絡（室長側）</t>
        </is>
      </c>
      <c r="D492" s="16" t="inlineStr">
        <is>
          <t>検証用教室・staging のみ</t>
        </is>
      </c>
      <c r="E492" s="5" t="inlineStr">
        <is>
          <t>休み連絡はまだありません。</t>
        </is>
      </c>
      <c r="F492" s="5" t="inlineStr">
        <is>
          <t>履歴モーダル（同じ画面・同じダイアログの続き）</t>
        </is>
      </c>
      <c r="G492" s="5" t="inlineStr">
        <is>
          <t>ParentContactHistoryModal.tsx</t>
        </is>
      </c>
      <c r="H492" s="16" t="inlineStr">
        <is>
          <t>52–63</t>
        </is>
      </c>
      <c r="I492" s="5" t="inlineStr"/>
      <c r="J492" s="6" t="n"/>
      <c r="K492" s="14" t="n"/>
      <c r="L492" s="6" t="n"/>
    </row>
    <row r="493">
      <c r="A493" s="16" t="n">
        <v>492</v>
      </c>
      <c r="B493" s="16" t="inlineStr">
        <is>
          <t>室長</t>
        </is>
      </c>
      <c r="C493" s="5" t="inlineStr">
        <is>
          <t>B-9. 保護者からの休み連絡（室長側）</t>
        </is>
      </c>
      <c r="D493" s="16" t="inlineStr">
        <is>
          <t>検証用教室・staging のみ</t>
        </is>
      </c>
      <c r="E493" s="5" t="inlineStr">
        <is>
          <t>押すと休み連絡の処理を選べます</t>
        </is>
      </c>
      <c r="F493" s="5" t="inlineStr">
        <is>
          <t>履歴モーダル（同じ画面・同じダイアログの続き）</t>
        </is>
      </c>
      <c r="G493" s="5" t="inlineStr">
        <is>
          <t>ParentContactHistoryModal.tsx</t>
        </is>
      </c>
      <c r="H493" s="16" t="inlineStr">
        <is>
          <t>52–63</t>
        </is>
      </c>
      <c r="I493" s="5" t="inlineStr"/>
      <c r="J493" s="6" t="n"/>
      <c r="K493" s="14" t="n"/>
      <c r="L493" s="6" t="n"/>
    </row>
    <row r="494">
      <c r="A494" s="16" t="n">
        <v>493</v>
      </c>
      <c r="B494" s="16" t="inlineStr">
        <is>
          <t>室長</t>
        </is>
      </c>
      <c r="C494" s="5" t="inlineStr">
        <is>
          <t>B-9. 保護者からの休み連絡（室長側）</t>
        </is>
      </c>
      <c r="D494" s="16" t="inlineStr">
        <is>
          <t>検証用教室・staging のみ</t>
        </is>
      </c>
      <c r="E494" s="5" t="inlineStr">
        <is>
          <t>確認済</t>
        </is>
      </c>
      <c r="F494" s="5" t="inlineStr">
        <is>
          <t>履歴の状態</t>
        </is>
      </c>
      <c r="G494" s="5" t="inlineStr">
        <is>
          <t>ParentContactHistoryModal.tsx</t>
        </is>
      </c>
      <c r="H494" s="16" t="inlineStr">
        <is>
          <t>21–23</t>
        </is>
      </c>
      <c r="I494" s="5" t="inlineStr"/>
      <c r="J494" s="6" t="n"/>
      <c r="K494" s="14" t="n"/>
      <c r="L494" s="6" t="n"/>
    </row>
    <row r="495">
      <c r="A495" s="16" t="n">
        <v>494</v>
      </c>
      <c r="B495" s="16" t="inlineStr">
        <is>
          <t>室長</t>
        </is>
      </c>
      <c r="C495" s="5" t="inlineStr">
        <is>
          <t>B-9. 保護者からの休み連絡（室長側）</t>
        </is>
      </c>
      <c r="D495" s="16" t="inlineStr">
        <is>
          <t>検証用教室・staging のみ</t>
        </is>
      </c>
      <c r="E495" s="5" t="inlineStr">
        <is>
          <t>確認済(保存待ち)</t>
        </is>
      </c>
      <c r="F495" s="5" t="inlineStr">
        <is>
          <t>履歴の状態</t>
        </is>
      </c>
      <c r="G495" s="5" t="inlineStr">
        <is>
          <t>ParentContactHistoryModal.tsx</t>
        </is>
      </c>
      <c r="H495" s="16" t="inlineStr">
        <is>
          <t>21–23</t>
        </is>
      </c>
      <c r="I495" s="5" t="inlineStr"/>
      <c r="J495" s="6" t="n"/>
      <c r="K495" s="14" t="n"/>
      <c r="L495" s="6" t="n"/>
    </row>
    <row r="496">
      <c r="A496" s="16" t="n">
        <v>495</v>
      </c>
      <c r="B496" s="16" t="inlineStr">
        <is>
          <t>室長</t>
        </is>
      </c>
      <c r="C496" s="5" t="inlineStr">
        <is>
          <t>B-9. 保護者からの休み連絡（室長側）</t>
        </is>
      </c>
      <c r="D496" s="16" t="inlineStr">
        <is>
          <t>検証用教室・staging のみ</t>
        </is>
      </c>
      <c r="E496" s="5" t="inlineStr">
        <is>
          <t>未確認</t>
        </is>
      </c>
      <c r="F496" s="5" t="inlineStr">
        <is>
          <t>履歴の状態</t>
        </is>
      </c>
      <c r="G496" s="5" t="inlineStr">
        <is>
          <t>ParentContactHistoryModal.tsx</t>
        </is>
      </c>
      <c r="H496" s="16" t="inlineStr">
        <is>
          <t>21–23</t>
        </is>
      </c>
      <c r="I496" s="5" t="inlineStr"/>
      <c r="J496" s="6" t="n"/>
      <c r="K496" s="14" t="n"/>
      <c r="L496" s="6" t="n"/>
    </row>
    <row r="497">
      <c r="A497" s="16" t="n">
        <v>496</v>
      </c>
      <c r="B497" s="16" t="inlineStr">
        <is>
          <t>室長</t>
        </is>
      </c>
      <c r="C497" s="5" t="inlineStr">
        <is>
          <t>B-9. 保護者からの休み連絡（室長側）</t>
        </is>
      </c>
      <c r="D497" s="16" t="inlineStr">
        <is>
          <t>検証用教室・staging のみ</t>
        </is>
      </c>
      <c r="E497" s="5" t="inlineStr">
        <is>
          <t>保護者QRからの休み連絡の履歴</t>
        </is>
      </c>
      <c r="F497" s="5" t="inlineStr">
        <is>
          <t>ツールバーのボタン説明</t>
        </is>
      </c>
      <c r="G497" s="5" t="inlineStr">
        <is>
          <t>BoardToolbar.tsx</t>
        </is>
      </c>
      <c r="H497" s="16" t="inlineStr">
        <is>
          <t>298</t>
        </is>
      </c>
      <c r="I497" s="5" t="inlineStr"/>
      <c r="J497" s="6" t="n"/>
      <c r="K497" s="14" t="n"/>
      <c r="L497" s="6" t="n"/>
    </row>
    <row r="498">
      <c r="A498" s="16" t="n">
        <v>497</v>
      </c>
      <c r="B498" s="16" t="inlineStr">
        <is>
          <t>室長</t>
        </is>
      </c>
      <c r="C498" s="5" t="inlineStr">
        <is>
          <t>B-9. 保護者からの休み連絡（室長側）</t>
        </is>
      </c>
      <c r="D498" s="16" t="inlineStr">
        <is>
          <t>検証用教室・staging のみ</t>
        </is>
      </c>
      <c r="E498" s="5" t="inlineStr">
        <is>
          <t>（生徒名不明）</t>
        </is>
      </c>
      <c r="F498" s="5" t="inlineStr">
        <is>
          <t>生徒が特定できないとき</t>
        </is>
      </c>
      <c r="G498" s="5" t="inlineStr">
        <is>
          <t>parentMessages.ts</t>
        </is>
      </c>
      <c r="H498" s="16" t="inlineStr">
        <is>
          <t>52</t>
        </is>
      </c>
      <c r="I498" s="5" t="inlineStr"/>
      <c r="J498" s="6" t="n"/>
      <c r="K498" s="14" t="n"/>
      <c r="L498" s="6" t="n"/>
    </row>
    <row r="499">
      <c r="A499" s="12" t="n">
        <v>498</v>
      </c>
      <c r="B499" s="12" t="inlineStr">
        <is>
          <t>室長</t>
        </is>
      </c>
      <c r="C499" s="13" t="inlineStr">
        <is>
          <t>B-10. 共通のエラー文（どの画面でも出うる）</t>
        </is>
      </c>
      <c r="D499" s="12" t="inlineStr">
        <is>
          <t>全教室</t>
        </is>
      </c>
      <c r="E499" s="13" t="inlineStr"/>
      <c r="F499" s="13" t="inlineStr">
        <is>
          <t>ブラウザ保存</t>
        </is>
      </c>
      <c r="G499" s="13" t="inlineStr">
        <is>
          <t>appSnapshotRepository.ts</t>
        </is>
      </c>
      <c r="H499" s="12" t="inlineStr">
        <is>
          <t>177</t>
        </is>
      </c>
      <c r="I499" s="15" t="inlineStr">
        <is>
          <t>`IndexedDB を開けませんでした。`</t>
        </is>
      </c>
      <c r="J499" s="6" t="n"/>
      <c r="K499" s="14" t="n"/>
      <c r="L499" s="6" t="n"/>
    </row>
    <row r="500">
      <c r="A500" s="12" t="n">
        <v>499</v>
      </c>
      <c r="B500" s="12" t="inlineStr">
        <is>
          <t>室長</t>
        </is>
      </c>
      <c r="C500" s="13" t="inlineStr">
        <is>
          <t>B-10. 共通のエラー文（どの画面でも出うる）</t>
        </is>
      </c>
      <c r="D500" s="12" t="inlineStr">
        <is>
          <t>全教室</t>
        </is>
      </c>
      <c r="E500" s="13" t="inlineStr"/>
      <c r="F500" s="13" t="inlineStr">
        <is>
          <t>ブラウザ保存</t>
        </is>
      </c>
      <c r="G500" s="13" t="inlineStr">
        <is>
          <t>appSnapshotRepository.ts / 227</t>
        </is>
      </c>
      <c r="H500" s="12" t="inlineStr">
        <is>
          <t xml:space="preserve">209 / </t>
        </is>
      </c>
      <c r="I500" s="15" t="inlineStr">
        <is>
          <t>`保存済みスナップショットの読込/書込に失敗しました。`</t>
        </is>
      </c>
      <c r="J500" s="6" t="n"/>
      <c r="K500" s="14" t="n"/>
      <c r="L500" s="6" t="n"/>
    </row>
    <row r="501">
      <c r="A501" s="12" t="n">
        <v>500</v>
      </c>
      <c r="B501" s="12" t="inlineStr">
        <is>
          <t>室長</t>
        </is>
      </c>
      <c r="C501" s="13" t="inlineStr">
        <is>
          <t>B-10. 共通のエラー文（どの画面でも出うる）</t>
        </is>
      </c>
      <c r="D501" s="12" t="inlineStr">
        <is>
          <t>全教室</t>
        </is>
      </c>
      <c r="E501" s="13" t="inlineStr"/>
      <c r="F501" s="13" t="inlineStr">
        <is>
          <t>ブラウザ保存</t>
        </is>
      </c>
      <c r="G501" s="13" t="inlineStr">
        <is>
          <t>appSnapshotRepository.ts / 263</t>
        </is>
      </c>
      <c r="H501" s="12" t="inlineStr">
        <is>
          <t xml:space="preserve">245 / </t>
        </is>
      </c>
      <c r="I501" s="15" t="inlineStr">
        <is>
          <t>`管理ワークスペースの読込/書込に失敗しました。`</t>
        </is>
      </c>
      <c r="J501" s="6" t="n"/>
      <c r="K501" s="14" t="n"/>
      <c r="L501" s="6" t="n"/>
    </row>
    <row r="502">
      <c r="A502" s="12" t="n">
        <v>501</v>
      </c>
      <c r="B502" s="12" t="inlineStr">
        <is>
          <t>室長</t>
        </is>
      </c>
      <c r="C502" s="13" t="inlineStr">
        <is>
          <t>B-10. 共通のエラー文（どの画面でも出うる）</t>
        </is>
      </c>
      <c r="D502" s="12" t="inlineStr">
        <is>
          <t>全教室</t>
        </is>
      </c>
      <c r="E502" s="13" t="inlineStr"/>
      <c r="F502" s="13" t="inlineStr">
        <is>
          <t>ブラウザ保存</t>
        </is>
      </c>
      <c r="G502" s="13" t="inlineStr">
        <is>
          <t>appSnapshotRepository.ts / 351</t>
        </is>
      </c>
      <c r="H502" s="12" t="inlineStr">
        <is>
          <t xml:space="preserve">281 / </t>
        </is>
      </c>
      <c r="I502" s="15" t="inlineStr">
        <is>
          <t>`自動バックアップの読込/更新に失敗しました。`</t>
        </is>
      </c>
      <c r="J502" s="6" t="n"/>
      <c r="K502" s="14" t="n"/>
      <c r="L502" s="6" t="n"/>
    </row>
    <row r="503">
      <c r="A503" s="12" t="n">
        <v>502</v>
      </c>
      <c r="B503" s="12" t="inlineStr">
        <is>
          <t>室長</t>
        </is>
      </c>
      <c r="C503" s="13" t="inlineStr">
        <is>
          <t>B-10. 共通のエラー文（どの画面でも出うる）</t>
        </is>
      </c>
      <c r="D503" s="12" t="inlineStr">
        <is>
          <t>全教室</t>
        </is>
      </c>
      <c r="E503" s="13" t="inlineStr"/>
      <c r="F503" s="13" t="inlineStr">
        <is>
          <t>バックアップ読込</t>
        </is>
      </c>
      <c r="G503" s="13" t="inlineStr">
        <is>
          <t>appSnapshotRepository.ts / 726</t>
        </is>
      </c>
      <c r="H503" s="12" t="inlineStr">
        <is>
          <t xml:space="preserve">683 / </t>
        </is>
      </c>
      <c r="I503" s="15" t="inlineStr">
        <is>
          <t>`バックアップ形式が不正です。` / `開発者バックアップ形式が不正です。`</t>
        </is>
      </c>
      <c r="J503" s="6" t="n"/>
      <c r="K503" s="14" t="n"/>
      <c r="L503" s="6" t="n"/>
    </row>
    <row r="504">
      <c r="A504" s="12" t="n">
        <v>503</v>
      </c>
      <c r="B504" s="12" t="inlineStr">
        <is>
          <t>室長</t>
        </is>
      </c>
      <c r="C504" s="13" t="inlineStr">
        <is>
          <t>B-10. 共通のエラー文（どの画面でも出うる）</t>
        </is>
      </c>
      <c r="D504" s="12" t="inlineStr">
        <is>
          <t>全教室</t>
        </is>
      </c>
      <c r="E504" s="13" t="inlineStr"/>
      <c r="F504" s="13" t="inlineStr">
        <is>
          <t>保存・各種操作</t>
        </is>
      </c>
      <c r="G504" s="13" t="inlineStr">
        <is>
          <t>adminFunctions.ts / parentPortal.ts</t>
        </is>
      </c>
      <c r="H504" s="12" t="inlineStr">
        <is>
          <t>163 / 17</t>
        </is>
      </c>
      <c r="I504" s="15" t="inlineStr">
        <is>
          <t>`Firebase Functions を利用できません。接続設定を確認してください。`</t>
        </is>
      </c>
      <c r="J504" s="6" t="n"/>
      <c r="K504" s="14" t="n"/>
      <c r="L504" s="6" t="n"/>
    </row>
    <row r="505">
      <c r="A505" s="12" t="n">
        <v>504</v>
      </c>
      <c r="B505" s="12" t="inlineStr">
        <is>
          <t>室長</t>
        </is>
      </c>
      <c r="C505" s="13" t="inlineStr">
        <is>
          <t>B-10. 共通のエラー文（どの画面でも出うる）</t>
        </is>
      </c>
      <c r="D505" s="12" t="inlineStr">
        <is>
          <t>全教室</t>
        </is>
      </c>
      <c r="E505" s="13" t="inlineStr"/>
      <c r="F505" s="13" t="inlineStr">
        <is>
          <t>同上</t>
        </is>
      </c>
      <c r="G505" s="13" t="inlineStr">
        <is>
          <t>adminFunctions.ts</t>
        </is>
      </c>
      <c r="H505" s="12" t="inlineStr">
        <is>
          <t>172</t>
        </is>
      </c>
      <c r="I505" s="15" t="inlineStr">
        <is>
          <t>`Firebase Firestore を利用できません。接続設定を確認してください。`</t>
        </is>
      </c>
      <c r="J505" s="6" t="n"/>
      <c r="K505" s="14" t="n"/>
      <c r="L505" s="6" t="n"/>
    </row>
    <row r="506">
      <c r="A506" s="12" t="n">
        <v>505</v>
      </c>
      <c r="B506" s="12" t="inlineStr">
        <is>
          <t>室長</t>
        </is>
      </c>
      <c r="C506" s="13" t="inlineStr">
        <is>
          <t>B-10. 共通のエラー文（どの画面でも出うる）</t>
        </is>
      </c>
      <c r="D506" s="12" t="inlineStr">
        <is>
          <t>全教室</t>
        </is>
      </c>
      <c r="E506" s="13" t="inlineStr"/>
      <c r="F506" s="13" t="inlineStr">
        <is>
          <t>起動時</t>
        </is>
      </c>
      <c r="G506" s="13" t="inlineStr">
        <is>
          <t>workspaceStore.ts</t>
        </is>
      </c>
      <c r="H506" s="12" t="inlineStr">
        <is>
          <t>296</t>
        </is>
      </c>
      <c r="I506" s="15" t="inlineStr">
        <is>
          <t>`Firebase 設定が不足しています。 .env に接続情報を設定してください。`</t>
        </is>
      </c>
      <c r="J506" s="6" t="n"/>
      <c r="K506" s="14" t="n"/>
      <c r="L506" s="6" t="n"/>
    </row>
    <row r="507">
      <c r="A507" s="12" t="n">
        <v>506</v>
      </c>
      <c r="B507" s="12" t="inlineStr">
        <is>
          <t>室長</t>
        </is>
      </c>
      <c r="C507" s="13" t="inlineStr">
        <is>
          <t>B-10. 共通のエラー文（どの画面でも出うる）</t>
        </is>
      </c>
      <c r="D507" s="12" t="inlineStr">
        <is>
          <t>全教室</t>
        </is>
      </c>
      <c r="E507" s="13" t="inlineStr"/>
      <c r="F507" s="13" t="inlineStr">
        <is>
          <t>ログイン後</t>
        </is>
      </c>
      <c r="G507" s="13" t="inlineStr">
        <is>
          <t>workspaceStore.ts</t>
        </is>
      </c>
      <c r="H507" s="12" t="inlineStr">
        <is>
          <t>601</t>
        </is>
      </c>
      <c r="I507" s="15" t="inlineStr">
        <is>
          <t>`このユーザーは対象ワークスペースに紐付いていません。Firestore の members コレクションを確認してください。`</t>
        </is>
      </c>
      <c r="J507" s="6" t="n"/>
      <c r="K507" s="14" t="n"/>
      <c r="L507" s="6" t="n"/>
    </row>
    <row r="508">
      <c r="A508" s="12" t="n">
        <v>507</v>
      </c>
      <c r="B508" s="12" t="inlineStr">
        <is>
          <t>室長</t>
        </is>
      </c>
      <c r="C508" s="13" t="inlineStr">
        <is>
          <t>B-10. 共通のエラー文（どの画面でも出うる）</t>
        </is>
      </c>
      <c r="D508" s="12" t="inlineStr">
        <is>
          <t>全教室</t>
        </is>
      </c>
      <c r="E508" s="13" t="inlineStr"/>
      <c r="F508" s="13" t="inlineStr">
        <is>
          <t>起動時</t>
        </is>
      </c>
      <c r="G508" s="13" t="inlineStr">
        <is>
          <t>workspaceStore.ts</t>
        </is>
      </c>
      <c r="H508" s="12" t="inlineStr">
        <is>
          <t>615</t>
        </is>
      </c>
      <c r="I508" s="15" t="inlineStr">
        <is>
          <t>`対象 workspace が Firestore に見つかりません。docs/firebase-backend.md の初期セットアップを確認してください。`</t>
        </is>
      </c>
      <c r="J508" s="6" t="n"/>
      <c r="K508" s="14" t="n"/>
      <c r="L508" s="6" t="n"/>
    </row>
    <row r="509">
      <c r="A509" s="12" t="n">
        <v>508</v>
      </c>
      <c r="B509" s="12" t="inlineStr">
        <is>
          <t>室長</t>
        </is>
      </c>
      <c r="C509" s="13" t="inlineStr">
        <is>
          <t>B-10. 共通のエラー文（どの画面でも出うる）</t>
        </is>
      </c>
      <c r="D509" s="12" t="inlineStr">
        <is>
          <t>全教室</t>
        </is>
      </c>
      <c r="E509" s="13" t="inlineStr"/>
      <c r="F509" s="13" t="inlineStr">
        <is>
          <t>古いブラウザ</t>
        </is>
      </c>
      <c r="G509" s="13" t="inlineStr">
        <is>
          <t>workspaceStore.ts</t>
        </is>
      </c>
      <c r="H509" s="12" t="inlineStr">
        <is>
          <t>383</t>
        </is>
      </c>
      <c r="I509" s="15" t="inlineStr">
        <is>
          <t>`このブラウザは Firebase 圧縮スナップショット読込に未対応です。Chrome / Edge …`</t>
        </is>
      </c>
      <c r="J509" s="6" t="n"/>
      <c r="K509" s="14" t="n"/>
      <c r="L509" s="6" t="n"/>
    </row>
    <row r="510">
      <c r="A510" s="12" t="n">
        <v>509</v>
      </c>
      <c r="B510" s="12" t="inlineStr">
        <is>
          <t>室長</t>
        </is>
      </c>
      <c r="C510" s="13" t="inlineStr">
        <is>
          <t>B-10. 共通のエラー文（どの画面でも出うる）</t>
        </is>
      </c>
      <c r="D510" s="12" t="inlineStr">
        <is>
          <t>全教室</t>
        </is>
      </c>
      <c r="E510" s="13" t="inlineStr">
        <is>
          <t>Firebase のログイン状態が確認できません。再ログイン後にもう一度実行してください。</t>
        </is>
      </c>
      <c r="F510" s="13" t="inlineStr">
        <is>
          <t>権限切れ</t>
        </is>
      </c>
      <c r="G510" s="13" t="inlineStr">
        <is>
          <t>client.ts / 122</t>
        </is>
      </c>
      <c r="H510" s="12" t="inlineStr">
        <is>
          <t xml:space="preserve">84 / </t>
        </is>
      </c>
      <c r="I510" s="13" t="inlineStr"/>
      <c r="J510" s="6" t="n"/>
      <c r="K510" s="14" t="n"/>
      <c r="L510" s="6" t="n"/>
    </row>
    <row r="511">
      <c r="A511" s="12" t="n">
        <v>510</v>
      </c>
      <c r="B511" s="12" t="inlineStr">
        <is>
          <t>室長</t>
        </is>
      </c>
      <c r="C511" s="13" t="inlineStr">
        <is>
          <t>B-10. 共通のエラー文（どの画面でも出うる）</t>
        </is>
      </c>
      <c r="D511" s="12" t="inlineStr">
        <is>
          <t>全教室</t>
        </is>
      </c>
      <c r="E511" s="13" t="inlineStr">
        <is>
          <t>このワークスペースのメンバーではありません。</t>
        </is>
      </c>
      <c r="F511" s="13" t="inlineStr">
        <is>
          <t>サーバー側の権限拒否</t>
        </is>
      </c>
      <c r="G511" s="13" t="inlineStr">
        <is>
          <t>functions / src / index.ts</t>
        </is>
      </c>
      <c r="H511" s="12" t="inlineStr">
        <is>
          <t xml:space="preserve"> /  / 1261–1277</t>
        </is>
      </c>
      <c r="I511" s="15" t="inlineStr">
        <is>
          <t>「ワークスペース」</t>
        </is>
      </c>
      <c r="J511" s="6" t="n"/>
      <c r="K511" s="14" t="n"/>
      <c r="L511" s="6" t="n"/>
    </row>
    <row r="512">
      <c r="A512" s="12" t="n">
        <v>511</v>
      </c>
      <c r="B512" s="12" t="inlineStr">
        <is>
          <t>室長</t>
        </is>
      </c>
      <c r="C512" s="13" t="inlineStr">
        <is>
          <t>B-10. 共通のエラー文（どの画面でも出うる）</t>
        </is>
      </c>
      <c r="D512" s="12" t="inlineStr">
        <is>
          <t>全教室</t>
        </is>
      </c>
      <c r="E512" s="13" t="inlineStr">
        <is>
          <t>この教室を保存する権限がありません。</t>
        </is>
      </c>
      <c r="F512" s="13" t="inlineStr">
        <is>
          <t>サーバー側の権限拒否</t>
        </is>
      </c>
      <c r="G512" s="13" t="inlineStr">
        <is>
          <t>functions / src / index.ts</t>
        </is>
      </c>
      <c r="H512" s="12" t="inlineStr">
        <is>
          <t xml:space="preserve"> /  / 1261–1277</t>
        </is>
      </c>
      <c r="I512" s="15" t="inlineStr">
        <is>
          <t>「ワークスペース」</t>
        </is>
      </c>
      <c r="J512" s="6" t="n"/>
      <c r="K512" s="14" t="n"/>
      <c r="L512" s="6" t="n"/>
    </row>
    <row r="513">
      <c r="A513" s="12" t="n">
        <v>512</v>
      </c>
      <c r="B513" s="12" t="inlineStr">
        <is>
          <t>室長</t>
        </is>
      </c>
      <c r="C513" s="13" t="inlineStr">
        <is>
          <t>B-10. 共通のエラー文（どの画面でも出うる）</t>
        </is>
      </c>
      <c r="D513" s="12" t="inlineStr">
        <is>
          <t>全教室</t>
        </is>
      </c>
      <c r="E513" s="13" t="inlineStr">
        <is>
          <t>この教室はこのワークスペースに存在しません。</t>
        </is>
      </c>
      <c r="F513" s="13" t="inlineStr">
        <is>
          <t>サーバー側の権限拒否</t>
        </is>
      </c>
      <c r="G513" s="13" t="inlineStr">
        <is>
          <t>functions / src / index.ts</t>
        </is>
      </c>
      <c r="H513" s="12" t="inlineStr">
        <is>
          <t xml:space="preserve"> /  / 1261–1277</t>
        </is>
      </c>
      <c r="I513" s="15" t="inlineStr">
        <is>
          <t>「ワークスペース」</t>
        </is>
      </c>
      <c r="J513" s="6" t="n"/>
      <c r="K513" s="14" t="n"/>
      <c r="L513" s="6" t="n"/>
    </row>
    <row r="514">
      <c r="A514" s="12" t="n">
        <v>513</v>
      </c>
      <c r="B514" s="12" t="inlineStr">
        <is>
          <t>室長</t>
        </is>
      </c>
      <c r="C514" s="13" t="inlineStr">
        <is>
          <t>B-10. 共通のエラー文（どの画面でも出うる）</t>
        </is>
      </c>
      <c r="D514" s="12" t="inlineStr">
        <is>
          <t>全教室</t>
        </is>
      </c>
      <c r="E514" s="13" t="inlineStr">
        <is>
          <t>Firebase へログインしてください。</t>
        </is>
      </c>
      <c r="F514" s="13" t="inlineStr">
        <is>
          <t>サーバー側</t>
        </is>
      </c>
      <c r="G514" s="13" t="inlineStr">
        <is>
          <t>functions / src / index.ts</t>
        </is>
      </c>
      <c r="H514" s="12" t="inlineStr">
        <is>
          <t xml:space="preserve"> /  / 1236</t>
        </is>
      </c>
      <c r="I514" s="13" t="inlineStr"/>
      <c r="J514" s="6" t="n"/>
      <c r="K514" s="14" t="n"/>
      <c r="L514" s="6" t="n"/>
    </row>
    <row r="515">
      <c r="A515" s="12" t="n">
        <v>514</v>
      </c>
      <c r="B515" s="12" t="inlineStr">
        <is>
          <t>室長</t>
        </is>
      </c>
      <c r="C515" s="13" t="inlineStr">
        <is>
          <t>B-10. 共通のエラー文（どの画面でも出うる）</t>
        </is>
      </c>
      <c r="D515" s="12" t="inlineStr">
        <is>
          <t>全教室</t>
        </is>
      </c>
      <c r="E515" s="13" t="inlineStr"/>
      <c r="F515" s="13" t="inlineStr">
        <is>
          <t>保存の安全弁</t>
        </is>
      </c>
      <c r="G515" s="13" t="inlineStr">
        <is>
          <t>functions / src / index.ts</t>
        </is>
      </c>
      <c r="H515" s="12" t="inlineStr">
        <is>
          <t xml:space="preserve"> /  / 405</t>
        </is>
      </c>
      <c r="I515" s="15" t="inlineStr">
        <is>
          <t>`既存の教室管理データがあるため、空の管理データでのFirebase上書きを中止しました。`</t>
        </is>
      </c>
      <c r="J515" s="6" t="n"/>
      <c r="K515" s="14" t="n"/>
      <c r="L515" s="6" t="n"/>
    </row>
    <row r="516">
      <c r="A516" s="12" t="n">
        <v>515</v>
      </c>
      <c r="B516" s="12" t="inlineStr">
        <is>
          <t>室長</t>
        </is>
      </c>
      <c r="C516" s="13" t="inlineStr">
        <is>
          <t>B-10. 共通のエラー文（どの画面でも出うる）</t>
        </is>
      </c>
      <c r="D516" s="12" t="inlineStr">
        <is>
          <t>全教室</t>
        </is>
      </c>
      <c r="E516" s="13" t="inlineStr"/>
      <c r="F516" s="13" t="inlineStr">
        <is>
          <t>保存の検証</t>
        </is>
      </c>
      <c r="G516" s="13" t="inlineStr">
        <is>
          <t>functions / src / index.ts</t>
        </is>
      </c>
      <c r="H516" s="12" t="inlineStr">
        <is>
          <t xml:space="preserve"> /  / 1722</t>
        </is>
      </c>
      <c r="I516" s="15" t="inlineStr">
        <is>
          <t>`Firebase保存後の読み戻し検証に失敗しました。`</t>
        </is>
      </c>
      <c r="J516" s="6" t="n"/>
      <c r="K516" s="14" t="n"/>
      <c r="L516" s="6" t="n"/>
    </row>
    <row r="517">
      <c r="A517" s="12" t="n">
        <v>516</v>
      </c>
      <c r="B517" s="12" t="inlineStr">
        <is>
          <t>室長</t>
        </is>
      </c>
      <c r="C517" s="13" t="inlineStr">
        <is>
          <t>B-10. 共通のエラー文（どの画面でも出うる）</t>
        </is>
      </c>
      <c r="D517" s="12" t="inlineStr">
        <is>
          <t>全教室</t>
        </is>
      </c>
      <c r="E517" s="13" t="inlineStr"/>
      <c r="F517" s="13" t="inlineStr">
        <is>
          <t>履歴・保護者ポータル</t>
        </is>
      </c>
      <c r="G517" s="13" t="inlineStr">
        <is>
          <t>functions / src / index.ts / 3130</t>
        </is>
      </c>
      <c r="H517" s="12" t="inlineStr">
        <is>
          <t xml:space="preserve"> /  / 1821 / </t>
        </is>
      </c>
      <c r="I517" s="15" t="inlineStr">
        <is>
          <t>`サーバーで履歴を読めませんでした(◯◯)` / `サーバーで処理できませんでした(◯◯)` — 括弧内に英語の内部エラーがそのまま入る</t>
        </is>
      </c>
      <c r="J517" s="6" t="n"/>
      <c r="K517" s="14" t="n"/>
      <c r="L517" s="6" t="n"/>
    </row>
    <row r="518">
      <c r="A518" s="12" t="n">
        <v>517</v>
      </c>
      <c r="B518" s="12" t="inlineStr">
        <is>
          <t>室長</t>
        </is>
      </c>
      <c r="C518" s="13" t="inlineStr">
        <is>
          <t>B-10. 共通のエラー文（どの画面でも出うる）</t>
        </is>
      </c>
      <c r="D518" s="12" t="inlineStr">
        <is>
          <t>全教室</t>
        </is>
      </c>
      <c r="E518" s="13" t="inlineStr">
        <is>
          <t>サーバーバックアップの展開に失敗しました。</t>
        </is>
      </c>
      <c r="F518" s="13" t="inlineStr">
        <is>
          <t>復元</t>
        </is>
      </c>
      <c r="G518" s="13" t="inlineStr">
        <is>
          <t>adminFunctions.ts / 561</t>
        </is>
      </c>
      <c r="H518" s="12" t="inlineStr">
        <is>
          <t xml:space="preserve">558 / </t>
        </is>
      </c>
      <c r="I518" s="13" t="inlineStr"/>
      <c r="J518" s="6" t="n"/>
      <c r="K518" s="14" t="n"/>
      <c r="L518" s="6" t="n"/>
    </row>
    <row r="519">
      <c r="A519" s="12" t="n">
        <v>518</v>
      </c>
      <c r="B519" s="12" t="inlineStr">
        <is>
          <t>室長</t>
        </is>
      </c>
      <c r="C519" s="13" t="inlineStr">
        <is>
          <t>B-10. 共通のエラー文（どの画面でも出うる）</t>
        </is>
      </c>
      <c r="D519" s="12" t="inlineStr">
        <is>
          <t>全教室</t>
        </is>
      </c>
      <c r="E519" s="13" t="inlineStr">
        <is>
          <t>このブラウザは圧縮バックアップの展開に対応していません。最新のブラウザ…</t>
        </is>
      </c>
      <c r="F519" s="13" t="inlineStr">
        <is>
          <t>復元</t>
        </is>
      </c>
      <c r="G519" s="13" t="inlineStr">
        <is>
          <t>adminFunctions.ts / 561</t>
        </is>
      </c>
      <c r="H519" s="12" t="inlineStr">
        <is>
          <t xml:space="preserve">558 / </t>
        </is>
      </c>
      <c r="I519" s="13" t="inlineStr"/>
      <c r="J519" s="6" t="n"/>
      <c r="K519" s="14" t="n"/>
      <c r="L519" s="6" t="n"/>
    </row>
    <row r="520">
      <c r="A520" s="12" t="n">
        <v>519</v>
      </c>
      <c r="B520" s="12" t="inlineStr">
        <is>
          <t>室長</t>
        </is>
      </c>
      <c r="C520" s="13" t="inlineStr">
        <is>
          <t>B-10. 共通のエラー文（どの画面でも出うる）</t>
        </is>
      </c>
      <c r="D520" s="12" t="inlineStr">
        <is>
          <t>全教室</t>
        </is>
      </c>
      <c r="E520" s="13" t="inlineStr">
        <is>
          <t>PDF出力中… しばらくお待ちください</t>
        </is>
      </c>
      <c r="F520" s="13" t="inlineStr">
        <is>
          <t>PDF出力</t>
        </is>
      </c>
      <c r="G520" s="13" t="inlineStr">
        <is>
          <t>ScheduleBoardScreen.tsx / 10916</t>
        </is>
      </c>
      <c r="H520" s="12" t="inlineStr">
        <is>
          <t xml:space="preserve">10899 / </t>
        </is>
      </c>
      <c r="I520" s="13" t="inlineStr"/>
      <c r="J520" s="6" t="n"/>
      <c r="K520" s="14" t="n"/>
      <c r="L520" s="6" t="n"/>
    </row>
    <row r="521">
      <c r="A521" s="12" t="n">
        <v>520</v>
      </c>
      <c r="B521" s="12" t="inlineStr">
        <is>
          <t>室長</t>
        </is>
      </c>
      <c r="C521" s="13" t="inlineStr">
        <is>
          <t>B-10. 共通のエラー文（どの画面でも出うる）</t>
        </is>
      </c>
      <c r="D521" s="12" t="inlineStr">
        <is>
          <t>全教室</t>
        </is>
      </c>
      <c r="E521" s="13" t="inlineStr">
        <is>
          <t>PDF出力に失敗しました: ◯◯</t>
        </is>
      </c>
      <c r="F521" s="13" t="inlineStr">
        <is>
          <t>PDF出力</t>
        </is>
      </c>
      <c r="G521" s="13" t="inlineStr">
        <is>
          <t>ScheduleBoardScreen.tsx / 10916</t>
        </is>
      </c>
      <c r="H521" s="12" t="inlineStr">
        <is>
          <t xml:space="preserve">10899 / </t>
        </is>
      </c>
      <c r="I521" s="13" t="inlineStr"/>
      <c r="J521" s="6" t="n"/>
      <c r="K521" s="14" t="n"/>
      <c r="L521" s="6" t="n"/>
    </row>
    <row r="522">
      <c r="A522" s="12" t="n">
        <v>521</v>
      </c>
      <c r="B522" s="12" t="inlineStr">
        <is>
          <t>室長</t>
        </is>
      </c>
      <c r="C522" s="13" t="inlineStr">
        <is>
          <t>B-10. 共通のエラー文（どの画面でも出うる）</t>
        </is>
      </c>
      <c r="D522" s="12" t="inlineStr">
        <is>
          <t>全教室</t>
        </is>
      </c>
      <c r="E522" s="13" t="inlineStr">
        <is>
          <t>上書き内容のレポートを PDF 出力中… しばらくお待ちください</t>
        </is>
      </c>
      <c r="F522" s="13" t="inlineStr">
        <is>
          <t>テンプレ上書きレポート</t>
        </is>
      </c>
      <c r="G522" s="13" t="inlineStr">
        <is>
          <t>ScheduleBoardScreen.tsx</t>
        </is>
      </c>
      <c r="H522" s="12" t="inlineStr">
        <is>
          <t>8681</t>
        </is>
      </c>
      <c r="I522" s="13" t="inlineStr"/>
      <c r="J522" s="6" t="n"/>
      <c r="K522" s="14" t="n"/>
      <c r="L522" s="6" t="n"/>
    </row>
    <row r="523">
      <c r="A523" s="12" t="n">
        <v>522</v>
      </c>
      <c r="B523" s="12" t="inlineStr">
        <is>
          <t>室長</t>
        </is>
      </c>
      <c r="C523" s="13" t="inlineStr">
        <is>
          <t>B-10. 共通のエラー文（どの画面でも出うる）</t>
        </is>
      </c>
      <c r="D523" s="12" t="inlineStr">
        <is>
          <t>全教室</t>
        </is>
      </c>
      <c r="E523" s="13" t="inlineStr">
        <is>
          <t>テンプレート上書き削除データ一覧</t>
        </is>
      </c>
      <c r="F523" s="13" t="inlineStr">
        <is>
          <t>同レポートPDF</t>
        </is>
      </c>
      <c r="G523" s="13" t="inlineStr">
        <is>
          <t>pdf.ts / 932</t>
        </is>
      </c>
      <c r="H523" s="12" t="inlineStr">
        <is>
          <t xml:space="preserve">929 / </t>
        </is>
      </c>
      <c r="I523" s="13" t="inlineStr"/>
      <c r="J523" s="6" t="n"/>
      <c r="K523" s="14" t="n"/>
      <c r="L523" s="6" t="n"/>
    </row>
    <row r="524">
      <c r="A524" s="12" t="n">
        <v>523</v>
      </c>
      <c r="B524" s="12" t="inlineStr">
        <is>
          <t>室長</t>
        </is>
      </c>
      <c r="C524" s="13" t="inlineStr">
        <is>
          <t>B-10. 共通のエラー文（どの画面でも出うる）</t>
        </is>
      </c>
      <c r="D524" s="12" t="inlineStr">
        <is>
          <t>全教室</t>
        </is>
      </c>
      <c r="E524" s="13" t="inlineStr">
        <is>
          <t>削除される通常授業以外のデータはありません。</t>
        </is>
      </c>
      <c r="F524" s="13" t="inlineStr">
        <is>
          <t>同レポートPDF</t>
        </is>
      </c>
      <c r="G524" s="13" t="inlineStr">
        <is>
          <t>pdf.ts / 932</t>
        </is>
      </c>
      <c r="H524" s="12" t="inlineStr">
        <is>
          <t xml:space="preserve">929 / </t>
        </is>
      </c>
      <c r="I524" s="13" t="inlineStr"/>
      <c r="J524" s="6" t="n"/>
      <c r="K524" s="14" t="n"/>
      <c r="L524" s="6" t="n"/>
    </row>
  </sheetData>
  <autoFilter ref="A1:L524"/>
  <dataValidations count="1">
    <dataValidation sqref="K2:K524" showDropDown="0" showInputMessage="0" showErrorMessage="0" allowBlank="1" errorTitle="対応の選択" error="リストから選んでください（自由入力が必要ならメモ欄へ）" type="list">
      <formula1>"修正する,このままでよい,保留・要相談,削除する"</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78" customWidth="1" min="1" max="1"/>
    <col width="78" customWidth="1" min="2" max="2"/>
  </cols>
  <sheetData>
    <row r="1">
      <c r="A1" s="17" t="inlineStr">
        <is>
          <t>気づき（オーナー判断用・こちらでは直していません）</t>
        </is>
      </c>
    </row>
    <row r="2">
      <c r="A2" s="18" t="inlineStr"/>
    </row>
    <row r="3">
      <c r="A3" s="19" t="inlineStr">
        <is>
          <t>1. 開発用語がそのまま利用者に出ているもの</t>
        </is>
      </c>
    </row>
    <row r="4">
      <c r="A4" s="18" t="inlineStr">
        <is>
          <t>Firebase / Cloud Functions / Firestore / IndexedDB / スナップショット / ワークスペース / .env / docs/firebase-backend.md — B-1・B-10 の各所。特に 対象 workspace が Firestore に見つかりません。docs/firebase-backend.md の初期セットアップを確認してください。 （workspaceStore.ts:615）は室長には何もできない内容。</t>
        </is>
      </c>
    </row>
    <row r="5">
      <c r="A5" s="18" t="inlineStr">
        <is>
          <t>データベースへ保存中 Cloud Functions 経由で保存中: 1/3教室（App.tsx:2247/2299・BoardToolbar.tsx:274） — 進捗表示に内部経路名が出る。</t>
        </is>
      </c>
    </row>
    <row r="6">
      <c r="A6" s="18" t="inlineStr">
        <is>
          <t>認証方式をまだ確定していないため、いまは画面操作の確認用にローカルアカウントを選んで入ります。 （App.tsx:5712）— 開発途中の説明文がログイン画面に残っている。</t>
        </is>
      </c>
    </row>
    <row r="7">
      <c r="A7" s="18" t="inlineStr">
        <is>
          <t>デバッグコピー ＋ 問題報告を速くするために、選択中コマの内容をそのままコピーできます。 （DetailPanel.tsx:109–118）— 盤面の右パネルに常時出る。</t>
        </is>
      </c>
    </row>
    <row r="8">
      <c r="A8" s="18" t="inlineStr">
        <is>
          <t>通常残一覧画面の最小版（IssuesPanel.tsx:9）— 「最小版」は開発中の呼び名。</t>
        </is>
      </c>
    </row>
    <row r="9">
      <c r="A9" s="18" t="inlineStr">
        <is>
          <t>AI回答の失敗理由（Vertex AI の権限がありません(API の有効化・実行サービスアカウントの権限を確認) ほか。 questionAiAnswer.ts:116–152）— 室長の画面にそのまま表示される〔検〕。</t>
        </is>
      </c>
    </row>
    <row r="10">
      <c r="A10" s="18" t="inlineStr">
        <is>
          <t>サーバーで処理できませんでした(◯◯) サーバーで履歴を読めませんでした(◯◯) — 括弧の中に 英語の内部エラー文が最大300文字入る（functions/src/index.ts:1821 / 3130）。</t>
        </is>
      </c>
    </row>
    <row r="11">
      <c r="A11" s="18" t="inlineStr">
        <is>
          <t>許可されていないメソッドです。（functions/src/parentPortal.ts:598）— **保護者に出る可能性**がある技術用語。</t>
        </is>
      </c>
    </row>
    <row r="12">
      <c r="A12" s="18" t="inlineStr">
        <is>
          <t>2027 春期講習テスト（SpecialSessionScreen.tsx:772）— 入力欄の例示に「テスト」。</t>
        </is>
      </c>
    </row>
    <row r="13">
      <c r="A13" s="18" t="inlineStr">
        <is>
          <t>テストとして受け付けました（受付番号 ◯◯）。開発者への課題登録は行いません。（developerReport.ts:213） — 「課題登録」は開発側の用語。</t>
        </is>
      </c>
    </row>
    <row r="14">
      <c r="A14" s="18" t="inlineStr"/>
    </row>
    <row r="15">
      <c r="A15" s="19" t="inlineStr">
        <is>
          <t>2. 表記のゆれ</t>
        </is>
      </c>
    </row>
    <row r="16">
      <c r="A16" s="4" t="inlineStr">
        <is>
          <t>ゆれ</t>
        </is>
      </c>
      <c r="B16" s="4" t="inlineStr">
        <is>
          <t>実例</t>
        </is>
      </c>
    </row>
    <row r="17">
      <c r="A17" s="5" t="inlineStr">
        <is>
          <t>よろしいですか。 / よろしいですか？ / よろしいですか?</t>
        </is>
      </c>
      <c r="B17" s="5" t="inlineStr">
        <is>
          <t>「。」8件・「？」3件・「?」1件。例: 休日設定は よろしいですか。（ScheduleBoardScreen.tsx:9121）、テンプレを空には よろしいですか？（同8697）、保護者ポータルは よろしいですか?（parentPortalPageModel.ts:367）</t>
        </is>
      </c>
    </row>
    <row r="18">
      <c r="A18" s="5" t="inlineStr">
        <is>
          <t>… と ...</t>
        </is>
      </c>
      <c r="B18" s="5" t="inlineStr">
        <is>
          <t>送信中...（parentPortalPageModel 系）と 取得中…（BackupRestoreScreen）など。半角3点が16件、全角が20件</t>
        </is>
      </c>
    </row>
    <row r="19">
      <c r="A19" s="5" t="inlineStr">
        <is>
          <t>全角カッコ （） と半角カッコ ()</t>
        </is>
      </c>
      <c r="B19" s="5" t="inlineStr">
        <is>
          <t>同じ画面内で混在（例: ScheduleBoardScreen は （移動先に生徒がいる場合は入れ替えます） と (やめるときはキャンセル) が併存）</t>
        </is>
      </c>
    </row>
    <row r="20">
      <c r="A20" s="5" t="inlineStr">
        <is>
          <t>問い合わせ先の呼び方</t>
        </is>
      </c>
      <c r="B20" s="5" t="inlineStr">
        <is>
          <t>保護者ポータル=教室へお問い合わせください / 提出ページ=管理者にお問い合わせください（SubmissionPage.tsx:238）</t>
        </is>
      </c>
    </row>
    <row r="21">
      <c r="A21" s="5" t="inlineStr">
        <is>
          <t>「報告」と「質問・要望」</t>
        </is>
      </c>
      <c r="B21" s="5" t="inlineStr">
        <is>
          <t>ボタン名は「質問・要望」だが、日程表タブの結果は 開発者へ報告しました。（scheduleHtml.ts:8133）、パネル見出しは 報告テンプレートをコピー（DetailPanel.tsx:117）</t>
        </is>
      </c>
    </row>
    <row r="22">
      <c r="A22" s="5" t="inlineStr">
        <is>
          <t>「振無休」という略語</t>
        </is>
      </c>
      <c r="B22" s="5" t="inlineStr">
        <is>
          <t>盤面・配布用盤面・保護者向け処理選択に出る。保護者ポータルには出ないが、室長向けには説明なしで使用</t>
        </is>
      </c>
    </row>
    <row r="23">
      <c r="A23" s="18" t="inlineStr"/>
    </row>
    <row r="24">
      <c r="A24" s="19" t="inlineStr">
        <is>
          <t>3. 言い回しが気になるもの</t>
        </is>
      </c>
    </row>
    <row r="25">
      <c r="A25" s="18" t="inlineStr">
        <is>
          <t>この机にはまだ授業が入っていません。ここを移動先の候補として使う想定です。（DetailPanel.tsx:69） … 「想定です」は開発メモ調。</t>
        </is>
      </c>
    </row>
    <row r="26">
      <c r="A26" s="18" t="inlineStr">
        <is>
          <t>バックアップと復元に加えて、初期設定フローと運用中の Excel 管理ツールを分けて配置しています。 （BackupRestoreScreen.tsx:269）、特別講習データと自動割振ルールの Excel 管理もこの画面へ集約しています。 （同524）… 画面の作り手目線の説明。</t>
        </is>
      </c>
    </row>
    <row r="27">
      <c r="A27" s="18" t="inlineStr">
        <is>
          <t>指定期間が1年(366日)を超えたため、終了日から1年分に丸めました。（scheduleHtml.ts:7729）… 「丸めました」。</t>
        </is>
      </c>
    </row>
    <row r="28">
      <c r="A28" s="18" t="inlineStr">
        <is>
          <t>◯◯ は基本データの生徒と未連携のため、自動割振できません。（ScheduleBoardScreen.tsx:9608）… 「未連携」。</t>
        </is>
      </c>
    </row>
    <row r="29">
      <c r="A29" s="18" t="inlineStr">
        <is>
          <t>自動割振の理由表示 指定時限のため不利 / 対象ルールなし / 通常担当ではない（ScheduleBoardScreen.tsx:590–612 ほか） … 体言止めで揃ってはいるが意味が伝わりにくい可能性。</t>
        </is>
      </c>
    </row>
    <row r="30">
      <c r="A30" s="18" t="inlineStr">
        <is>
          <t>サーバーが自動で取っているバックアップ(直近24時間は15分毎、それ以前は間引き) （BackupRestoreScreen.tsx:297）… 「間引き」。</t>
        </is>
      </c>
    </row>
    <row r="31">
      <c r="A31" s="18" t="inlineStr"/>
    </row>
    <row r="32">
      <c r="A32" s="19" t="inlineStr">
        <is>
          <t>4. 重複・二重表示</t>
        </is>
      </c>
    </row>
    <row r="33">
      <c r="A33" s="18" t="inlineStr">
        <is>
          <t>特別講習データ画面の 欠席不可コマ・希望科目数の登録は日程表（生徒/講師）とQRから行います。 が 上部説明（750行）と一覧下（857行）の 2 か所に出る。</t>
        </is>
      </c>
    </row>
    <row r="34">
      <c r="A34" s="18" t="inlineStr">
        <is>
          <t>保護者ポータルの「連絡の仕方」が上部注記（parentPortalPageModel.ts:65）と一覧上のヒント（同366）で二重。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46" customWidth="1" min="1" max="1"/>
    <col width="60" customWidth="1" min="2" max="2"/>
    <col width="60" customWidth="1" min="3" max="3"/>
  </cols>
  <sheetData>
    <row r="1">
      <c r="A1" s="20" t="inlineStr">
        <is>
          <t>開発者専用画面（室長・保護者には出ません。文言が混在している場所の所在のみ）</t>
        </is>
      </c>
    </row>
    <row r="3">
      <c r="A3" s="4" t="inlineStr">
        <is>
          <t>画面</t>
        </is>
      </c>
      <c r="B3" s="4" t="inlineStr">
        <is>
          <t>ファイル</t>
        </is>
      </c>
      <c r="C3" s="4" t="inlineStr">
        <is>
          <t>備考</t>
        </is>
      </c>
    </row>
    <row r="4">
      <c r="A4" s="5" t="inlineStr">
        <is>
          <t>開発者画面（教室の追加・削除・管理者UID差し替え・契約状態・保存フォルダ連携・サーバーバックアップ）</t>
        </is>
      </c>
      <c r="B4" s="5" t="inlineStr">
        <is>
          <t>src/components/developer-admin/DeveloperAdminScreen.tsx、文言の多くは src/App.tsx:2910–3365 / 5111–5198</t>
        </is>
      </c>
      <c r="C4" s="5" t="inlineStr">
        <is>
          <t>教室を追加しました。既存の Firebase Auth UID を管理者として割り当てました。 初期パスワード: ◯◯ など</t>
        </is>
      </c>
    </row>
    <row r="5">
      <c r="A5" s="5" t="inlineStr">
        <is>
          <t>請求書自動化支援</t>
        </is>
      </c>
      <c r="B5" s="5" t="inlineStr">
        <is>
          <t>src/components/billing/BillingAutomationScreen.tsx（この画面は許可された開発者アカウントのみ利用できます。:427）</t>
        </is>
      </c>
      <c r="C5" s="5" t="inlineStr">
        <is>
          <t>請求書PDF・Gmail下書きの文言もここ</t>
        </is>
      </c>
    </row>
    <row r="6">
      <c r="A6" s="5" t="inlineStr">
        <is>
          <t>確認リストパネル</t>
        </is>
      </c>
      <c r="B6" s="5" t="inlineStr">
        <is>
          <t>src/components/developer-report/VerificationChecklistPanel.tsx、項目本文は src/utils/verificationChecklist.ts（約160件）</t>
        </is>
      </c>
      <c r="C6" s="5" t="inlineStr">
        <is>
          <t>開発用教室でだけ表示</t>
        </is>
      </c>
    </row>
    <row r="7">
      <c r="A7" s="5" t="inlineStr">
        <is>
          <t>振替消失レポート</t>
        </is>
      </c>
      <c r="B7" s="5" t="inlineStr">
        <is>
          <t>src/components/schedule-board/vanishedMakeupReport.ts:71–74</t>
        </is>
      </c>
      <c r="C7" s="5" t="inlineStr">
        <is>
          <t>今回の修正で未消化振替に戻る（移動しただけの振替コマ…） など、開発中の言い回しがそのまま</t>
        </is>
      </c>
    </row>
    <row r="9">
      <c r="A9" s="7" t="inlineStr">
        <is>
          <t>参考: 開発者へ届くメール本文（functions/src/developerReport.ts:262–302）に 「利用者が画面の「要望・報告」ボタンから送った内容です。」が残っています。ボタン名は「質問・要望」へ改名済み。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2026-09-19T12:54:48Z</dcterms:created>
  <dcterms:modified xsi:type="dcterms:W3CDTF">2026-09-19T12:54:48Z</dcterms:modified>
</cp:coreProperties>
</file>